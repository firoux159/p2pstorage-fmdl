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s3778275_student_rmit_edu_au/Documents/DR221/env/"/>
    </mc:Choice>
  </mc:AlternateContent>
  <xr:revisionPtr revIDLastSave="107" documentId="8_{040B8905-9188-4B4F-941E-78B33CF77A03}" xr6:coauthVersionLast="47" xr6:coauthVersionMax="47" xr10:uidLastSave="{FF3B09E3-D364-4389-A6FD-68D5CE3D2A65}"/>
  <bookViews>
    <workbookView xWindow="-120" yWindow="-120" windowWidth="29040" windowHeight="15840" activeTab="2" xr2:uid="{43323166-31DA-4484-838B-3F475B20CF2E}"/>
  </bookViews>
  <sheets>
    <sheet name="time" sheetId="1" r:id="rId1"/>
    <sheet name="info" sheetId="2" r:id="rId2"/>
    <sheet name="nodes" sheetId="6" r:id="rId3"/>
    <sheet name="startServerRandom" sheetId="3" r:id="rId4"/>
    <sheet name="startServerRep" sheetId="13" r:id="rId5"/>
    <sheet name="startServerPT" sheetId="5" r:id="rId6"/>
    <sheet name="stopServer" sheetId="7" r:id="rId7"/>
    <sheet name="uploadLib" sheetId="11" r:id="rId8"/>
    <sheet name="uploadFiles" sheetId="9" r:id="rId9"/>
    <sheet name="downloadFiles" sheetId="10" r:id="rId10"/>
    <sheet name="info (BK)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5" l="1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D21" i="2" l="1"/>
  <c r="D20" i="2"/>
  <c r="D19" i="2"/>
  <c r="D18" i="2"/>
  <c r="D17" i="2"/>
  <c r="D16" i="2"/>
  <c r="D15" i="2"/>
  <c r="D14" i="2"/>
  <c r="D13" i="2"/>
  <c r="D12" i="2"/>
  <c r="B22" i="13" l="1"/>
  <c r="B22" i="3"/>
  <c r="B22" i="5"/>
  <c r="B23" i="13"/>
  <c r="B23" i="5"/>
  <c r="B23" i="3"/>
  <c r="B24" i="5"/>
  <c r="B24" i="13"/>
  <c r="B24" i="3"/>
  <c r="B25" i="5"/>
  <c r="B25" i="3"/>
  <c r="B25" i="13"/>
  <c r="B26" i="5"/>
  <c r="B26" i="13"/>
  <c r="B26" i="3"/>
  <c r="B27" i="5"/>
  <c r="B27" i="3"/>
  <c r="B27" i="13"/>
  <c r="B20" i="5"/>
  <c r="B20" i="13"/>
  <c r="B20" i="3"/>
  <c r="B28" i="5"/>
  <c r="B28" i="3"/>
  <c r="B28" i="13"/>
  <c r="B21" i="13"/>
  <c r="B21" i="3"/>
  <c r="B21" i="5"/>
  <c r="B29" i="13"/>
  <c r="B29" i="3"/>
  <c r="B29" i="5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B110" i="11" l="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89" i="11" l="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70" i="10"/>
  <c r="B26" i="10"/>
  <c r="B25" i="10"/>
  <c r="B24" i="10"/>
  <c r="B23" i="10"/>
  <c r="B22" i="10"/>
  <c r="B21" i="10"/>
  <c r="B20" i="10"/>
  <c r="B19" i="10"/>
  <c r="B18" i="10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22" i="6"/>
  <c r="B21" i="6"/>
  <c r="B20" i="6"/>
  <c r="B19" i="6"/>
  <c r="B18" i="6"/>
  <c r="B17" i="6"/>
  <c r="B16" i="6"/>
  <c r="B15" i="6"/>
  <c r="B14" i="6"/>
  <c r="B13" i="6"/>
  <c r="D11" i="2"/>
  <c r="D10" i="2"/>
  <c r="D9" i="2"/>
  <c r="D8" i="2"/>
  <c r="D7" i="2"/>
  <c r="D6" i="2"/>
  <c r="D5" i="2"/>
  <c r="D4" i="2"/>
  <c r="D3" i="2"/>
  <c r="D2" i="2"/>
  <c r="D42" i="2"/>
  <c r="B42" i="6" s="1"/>
  <c r="D41" i="2"/>
  <c r="B41" i="6" s="1"/>
  <c r="D40" i="2"/>
  <c r="B40" i="6" s="1"/>
  <c r="D39" i="2"/>
  <c r="B39" i="6" s="1"/>
  <c r="D38" i="2"/>
  <c r="B38" i="6" s="1"/>
  <c r="D37" i="2"/>
  <c r="B37" i="6" s="1"/>
  <c r="D36" i="2"/>
  <c r="D35" i="2"/>
  <c r="B35" i="6" s="1"/>
  <c r="D34" i="2"/>
  <c r="B34" i="6" s="1"/>
  <c r="D33" i="2"/>
  <c r="B33" i="6" s="1"/>
  <c r="D32" i="2"/>
  <c r="B32" i="6" s="1"/>
  <c r="D31" i="2"/>
  <c r="B31" i="6" s="1"/>
  <c r="D30" i="2"/>
  <c r="B30" i="6" s="1"/>
  <c r="D29" i="2"/>
  <c r="B29" i="6" s="1"/>
  <c r="D28" i="2"/>
  <c r="D27" i="2"/>
  <c r="B27" i="6" s="1"/>
  <c r="D26" i="2"/>
  <c r="D25" i="2"/>
  <c r="B25" i="6" s="1"/>
  <c r="D24" i="2"/>
  <c r="B24" i="6" s="1"/>
  <c r="D23" i="2"/>
  <c r="B23" i="6" s="1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D105" i="2"/>
  <c r="D104" i="2"/>
  <c r="D103" i="2"/>
  <c r="D102" i="2"/>
  <c r="D101" i="2"/>
  <c r="B106" i="10" s="1"/>
  <c r="D100" i="2"/>
  <c r="B105" i="10" s="1"/>
  <c r="D99" i="2"/>
  <c r="B104" i="10" s="1"/>
  <c r="D98" i="2"/>
  <c r="B103" i="10" s="1"/>
  <c r="D97" i="2"/>
  <c r="D96" i="2"/>
  <c r="D95" i="2"/>
  <c r="D94" i="2"/>
  <c r="D93" i="2"/>
  <c r="D92" i="2"/>
  <c r="B97" i="10" s="1"/>
  <c r="D91" i="2"/>
  <c r="B96" i="10" s="1"/>
  <c r="D90" i="2"/>
  <c r="B95" i="10" s="1"/>
  <c r="D89" i="2"/>
  <c r="D88" i="2"/>
  <c r="D87" i="2"/>
  <c r="D86" i="2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D84" i="2"/>
  <c r="B89" i="10" s="1"/>
  <c r="D83" i="2"/>
  <c r="B88" i="10" s="1"/>
  <c r="D82" i="2"/>
  <c r="B87" i="10" s="1"/>
  <c r="D81" i="2"/>
  <c r="B86" i="10" s="1"/>
  <c r="D80" i="2"/>
  <c r="D79" i="2"/>
  <c r="D78" i="2"/>
  <c r="D77" i="2"/>
  <c r="B82" i="10" s="1"/>
  <c r="D76" i="2"/>
  <c r="B81" i="10" s="1"/>
  <c r="D75" i="2"/>
  <c r="B80" i="10" s="1"/>
  <c r="D74" i="2"/>
  <c r="B79" i="10" s="1"/>
  <c r="D73" i="2"/>
  <c r="B78" i="10" s="1"/>
  <c r="D72" i="2"/>
  <c r="D71" i="2"/>
  <c r="D70" i="2"/>
  <c r="D69" i="2"/>
  <c r="B74" i="10" s="1"/>
  <c r="D68" i="2"/>
  <c r="B73" i="10" s="1"/>
  <c r="D67" i="2"/>
  <c r="B72" i="10" s="1"/>
  <c r="D66" i="2"/>
  <c r="B71" i="10" s="1"/>
  <c r="D65" i="2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D63" i="2"/>
  <c r="D62" i="2"/>
  <c r="D61" i="2"/>
  <c r="D60" i="2"/>
  <c r="D59" i="2"/>
  <c r="B64" i="10" s="1"/>
  <c r="D58" i="2"/>
  <c r="B63" i="10" s="1"/>
  <c r="D57" i="2"/>
  <c r="B62" i="10" s="1"/>
  <c r="D56" i="2"/>
  <c r="B61" i="10" s="1"/>
  <c r="D55" i="2"/>
  <c r="D54" i="2"/>
  <c r="D53" i="2"/>
  <c r="D52" i="2"/>
  <c r="D51" i="2"/>
  <c r="B56" i="10" s="1"/>
  <c r="D50" i="2"/>
  <c r="B55" i="10" s="1"/>
  <c r="D49" i="2"/>
  <c r="B54" i="10" s="1"/>
  <c r="D48" i="2"/>
  <c r="B53" i="10" s="1"/>
  <c r="D47" i="2"/>
  <c r="D46" i="2"/>
  <c r="D45" i="2"/>
  <c r="D44" i="2"/>
  <c r="B9" i="10" l="1"/>
  <c r="B12" i="5"/>
  <c r="B12" i="13"/>
  <c r="B12" i="3"/>
  <c r="B6" i="6"/>
  <c r="B13" i="13"/>
  <c r="B13" i="3"/>
  <c r="B13" i="5"/>
  <c r="B14" i="13"/>
  <c r="B14" i="3"/>
  <c r="B14" i="5"/>
  <c r="B16" i="10"/>
  <c r="B19" i="5"/>
  <c r="B19" i="13"/>
  <c r="B19" i="3"/>
  <c r="B15" i="13"/>
  <c r="B15" i="5"/>
  <c r="B15" i="3"/>
  <c r="B8" i="10"/>
  <c r="B11" i="5"/>
  <c r="B11" i="13"/>
  <c r="B11" i="3"/>
  <c r="B16" i="3"/>
  <c r="B16" i="5"/>
  <c r="B16" i="13"/>
  <c r="B17" i="5"/>
  <c r="B17" i="3"/>
  <c r="B17" i="13"/>
  <c r="B9" i="3"/>
  <c r="B9" i="13"/>
  <c r="B9" i="5"/>
  <c r="B18" i="5"/>
  <c r="B18" i="13"/>
  <c r="B18" i="3"/>
  <c r="B98" i="10"/>
  <c r="B91" i="10"/>
  <c r="B99" i="10"/>
  <c r="B107" i="10"/>
  <c r="B92" i="10"/>
  <c r="B100" i="10"/>
  <c r="B108" i="10"/>
  <c r="B93" i="10"/>
  <c r="B101" i="10"/>
  <c r="B109" i="10"/>
  <c r="B94" i="10"/>
  <c r="B102" i="10"/>
  <c r="B110" i="10"/>
  <c r="B75" i="10"/>
  <c r="B83" i="10"/>
  <c r="B76" i="10"/>
  <c r="B84" i="10"/>
  <c r="B77" i="10"/>
  <c r="B85" i="10"/>
  <c r="B49" i="6"/>
  <c r="B57" i="6"/>
  <c r="B49" i="10"/>
  <c r="B57" i="10"/>
  <c r="B65" i="10"/>
  <c r="B50" i="10"/>
  <c r="B58" i="10"/>
  <c r="B66" i="10"/>
  <c r="B48" i="6"/>
  <c r="B58" i="6"/>
  <c r="B51" i="10"/>
  <c r="B59" i="10"/>
  <c r="B67" i="10"/>
  <c r="B56" i="6"/>
  <c r="B50" i="6"/>
  <c r="B52" i="10"/>
  <c r="B60" i="10"/>
  <c r="B68" i="10"/>
  <c r="B28" i="10"/>
  <c r="B36" i="10"/>
  <c r="B44" i="10"/>
  <c r="B29" i="10"/>
  <c r="B37" i="10"/>
  <c r="B45" i="10"/>
  <c r="B30" i="10"/>
  <c r="B38" i="10"/>
  <c r="B46" i="10"/>
  <c r="B31" i="10"/>
  <c r="B39" i="10"/>
  <c r="B47" i="10"/>
  <c r="B32" i="10"/>
  <c r="B40" i="10"/>
  <c r="B26" i="6"/>
  <c r="B33" i="10"/>
  <c r="B41" i="10"/>
  <c r="B34" i="10"/>
  <c r="B42" i="10"/>
  <c r="B28" i="6"/>
  <c r="B36" i="6"/>
  <c r="B35" i="10"/>
  <c r="B43" i="10"/>
  <c r="B17" i="10"/>
  <c r="B7" i="6"/>
  <c r="B3" i="6"/>
  <c r="B8" i="6"/>
  <c r="B9" i="6"/>
  <c r="B10" i="10"/>
  <c r="B10" i="6"/>
  <c r="B11" i="10"/>
  <c r="B11" i="6"/>
  <c r="B12" i="10"/>
  <c r="B12" i="6"/>
  <c r="B13" i="10"/>
  <c r="B4" i="6"/>
  <c r="B5" i="6"/>
  <c r="B14" i="10"/>
  <c r="B7" i="10"/>
  <c r="B15" i="10"/>
  <c r="B53" i="6"/>
  <c r="B101" i="6"/>
  <c r="B59" i="6"/>
  <c r="B75" i="6"/>
  <c r="B77" i="6"/>
  <c r="B83" i="6"/>
  <c r="B85" i="6"/>
  <c r="B54" i="6"/>
  <c r="B102" i="6"/>
  <c r="B51" i="6"/>
  <c r="B70" i="6"/>
  <c r="B99" i="6"/>
  <c r="B61" i="6"/>
  <c r="B86" i="6"/>
  <c r="B78" i="6"/>
  <c r="B43" i="6"/>
  <c r="B62" i="6"/>
  <c r="B91" i="6"/>
  <c r="B45" i="6"/>
  <c r="B67" i="6"/>
  <c r="B93" i="6"/>
  <c r="B46" i="6"/>
  <c r="B69" i="6"/>
  <c r="B94" i="6"/>
  <c r="B44" i="6"/>
  <c r="B52" i="6"/>
  <c r="B60" i="6"/>
  <c r="B68" i="6"/>
  <c r="B76" i="6"/>
  <c r="B84" i="6"/>
  <c r="B92" i="6"/>
  <c r="B100" i="6"/>
  <c r="B47" i="6"/>
  <c r="B55" i="6"/>
  <c r="B63" i="6"/>
  <c r="B71" i="6"/>
  <c r="B79" i="6"/>
  <c r="B87" i="6"/>
  <c r="B95" i="6"/>
  <c r="B64" i="6"/>
  <c r="B72" i="6"/>
  <c r="B80" i="6"/>
  <c r="B88" i="6"/>
  <c r="B96" i="6"/>
  <c r="B65" i="6"/>
  <c r="B73" i="6"/>
  <c r="B81" i="6"/>
  <c r="B89" i="6"/>
  <c r="B97" i="6"/>
  <c r="B66" i="6"/>
  <c r="B74" i="6"/>
  <c r="B82" i="6"/>
  <c r="B90" i="6"/>
  <c r="B98" i="6"/>
</calcChain>
</file>

<file path=xl/sharedStrings.xml><?xml version="1.0" encoding="utf-8"?>
<sst xmlns="http://schemas.openxmlformats.org/spreadsheetml/2006/main" count="782" uniqueCount="268">
  <si>
    <t>Random 20</t>
  </si>
  <si>
    <t>Start</t>
  </si>
  <si>
    <t>End</t>
  </si>
  <si>
    <t>PT 20</t>
  </si>
  <si>
    <t>Warmup</t>
  </si>
  <si>
    <t>Retrieve</t>
  </si>
  <si>
    <t>Random 40</t>
  </si>
  <si>
    <t>PT 40</t>
  </si>
  <si>
    <t>t2-small</t>
  </si>
  <si>
    <t>t2-medium</t>
  </si>
  <si>
    <t>t2-large</t>
  </si>
  <si>
    <t>t3-small</t>
  </si>
  <si>
    <t>t3-medium</t>
  </si>
  <si>
    <t>`</t>
  </si>
  <si>
    <t>172.31.29.34</t>
  </si>
  <si>
    <t>172.31.31.208</t>
  </si>
  <si>
    <t>172.31.19.51</t>
  </si>
  <si>
    <t>172.31.31.54</t>
  </si>
  <si>
    <t>172.31.26.164</t>
  </si>
  <si>
    <t>172.31.25.233</t>
  </si>
  <si>
    <t>172.31.22.203</t>
  </si>
  <si>
    <t>172.31.19.225</t>
  </si>
  <si>
    <t>172.31.26.244</t>
  </si>
  <si>
    <t>172.31.30.61</t>
  </si>
  <si>
    <t>172.31.29.11</t>
  </si>
  <si>
    <t>172.31.17.199</t>
  </si>
  <si>
    <t>172.31.26.151</t>
  </si>
  <si>
    <t>172.31.25.77</t>
  </si>
  <si>
    <t>172.31.27.166</t>
  </si>
  <si>
    <t>172.31.17.98</t>
  </si>
  <si>
    <t>172.31.27.25</t>
  </si>
  <si>
    <t>172.31.24.96</t>
  </si>
  <si>
    <t>172.31.22.197</t>
  </si>
  <si>
    <t>172.31.20.108</t>
  </si>
  <si>
    <t>ssh -i p2pstorage.pem ec2-user@</t>
  </si>
  <si>
    <t xml:space="preserve">sh -c </t>
  </si>
  <si>
    <t>c35-t2-large 172.31.22.108</t>
  </si>
  <si>
    <t xml:space="preserve"> &gt; /dev/null 2&gt;&amp;1 &amp;</t>
  </si>
  <si>
    <t>c45-t2-large 172.31.26.164</t>
  </si>
  <si>
    <t xml:space="preserve">cd node; nohup ./stopServer.sh </t>
  </si>
  <si>
    <t>&gt; /dev/null 2&gt;&amp;1 &amp;</t>
  </si>
  <si>
    <t>Random 60</t>
  </si>
  <si>
    <t>PT 60</t>
  </si>
  <si>
    <t>172.31.27.188</t>
  </si>
  <si>
    <t>172.31.26.227</t>
  </si>
  <si>
    <t>172.31.19.74</t>
  </si>
  <si>
    <t>172.31.18.89</t>
  </si>
  <si>
    <t>172.31.22.198</t>
  </si>
  <si>
    <t>172.31.20.6</t>
  </si>
  <si>
    <t>172.31.24.234</t>
  </si>
  <si>
    <t>172.31.16.123</t>
  </si>
  <si>
    <t>172.31.22.139</t>
  </si>
  <si>
    <t>172.31.29.152</t>
  </si>
  <si>
    <t>172.31.28.114</t>
  </si>
  <si>
    <t>172.31.26.46</t>
  </si>
  <si>
    <t>172.31.17.17</t>
  </si>
  <si>
    <t>172.31.24.201</t>
  </si>
  <si>
    <t>172.31.19.18</t>
  </si>
  <si>
    <t>172.31.21.225</t>
  </si>
  <si>
    <t>172.31.16.19</t>
  </si>
  <si>
    <t>172.31.18.160</t>
  </si>
  <si>
    <t>172.31.31.237</t>
  </si>
  <si>
    <t>172.31.16.236</t>
  </si>
  <si>
    <t>c55-t2-large 172.31.27.166</t>
  </si>
  <si>
    <t>c65-t2-large 172.31.22.198</t>
  </si>
  <si>
    <t>Random 80</t>
  </si>
  <si>
    <t>PT 80</t>
  </si>
  <si>
    <t>Random 100</t>
  </si>
  <si>
    <t>172.31.29.142</t>
  </si>
  <si>
    <t>172.31.20.77</t>
  </si>
  <si>
    <t>172.31.20.25</t>
  </si>
  <si>
    <t>172.31.19.239</t>
  </si>
  <si>
    <t>172.31.23.251</t>
  </si>
  <si>
    <t>172.31.16.43</t>
  </si>
  <si>
    <t>172.31.21.110</t>
  </si>
  <si>
    <t>172.31.24.55</t>
  </si>
  <si>
    <t>172.31.31.148</t>
  </si>
  <si>
    <t>172.31.25.125</t>
  </si>
  <si>
    <t>172.31.22.253</t>
  </si>
  <si>
    <t>172.31.18.234</t>
  </si>
  <si>
    <t>172.31.29.186</t>
  </si>
  <si>
    <t>172.31.31.15</t>
  </si>
  <si>
    <t>172.31.25.144</t>
  </si>
  <si>
    <t>172.31.20.104</t>
  </si>
  <si>
    <t>172.31.25.100</t>
  </si>
  <si>
    <t>172.31.25.167</t>
  </si>
  <si>
    <t>172.31.28.55</t>
  </si>
  <si>
    <t>c75-t2-large 172.31.19.18</t>
  </si>
  <si>
    <t>c85-t2-large 172.31.23.251</t>
  </si>
  <si>
    <t>172.31.20.255</t>
  </si>
  <si>
    <t>PT 100</t>
  </si>
  <si>
    <t xml:space="preserve"> sftp -i ../../p2pstorage.pem ec2-user@172.31.16.10:/home/ec2-user/node &lt;&lt;&lt; $'mput *'</t>
  </si>
  <si>
    <t>sftp -i p2pstorage.pem ec2-user@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</si>
  <si>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</si>
  <si>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</si>
  <si>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</si>
  <si>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</si>
  <si>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</si>
  <si>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</si>
  <si>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</si>
  <si>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</si>
  <si>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</si>
  <si>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172.31.16.10</t>
  </si>
  <si>
    <t>172.31.27.28</t>
  </si>
  <si>
    <t>172.31.24.48</t>
  </si>
  <si>
    <t>172.31.19.20</t>
  </si>
  <si>
    <t>172.31.21.44</t>
  </si>
  <si>
    <t>172.31.42.48</t>
  </si>
  <si>
    <t>172.31.6.148</t>
  </si>
  <si>
    <t>172.31.21.20</t>
  </si>
  <si>
    <t>172.31.29.51</t>
  </si>
  <si>
    <t>172.31.27.113</t>
  </si>
  <si>
    <t>172.31.31.235</t>
  </si>
  <si>
    <t>172.31.23.24</t>
  </si>
  <si>
    <t>172.31.28.220</t>
  </si>
  <si>
    <t>172.31.28.38</t>
  </si>
  <si>
    <t>172.31.31.7</t>
  </si>
  <si>
    <t>172.31.19.38</t>
  </si>
  <si>
    <t>172.31.19.160</t>
  </si>
  <si>
    <t>172.31.22.207</t>
  </si>
  <si>
    <t>172.31.25.39</t>
  </si>
  <si>
    <t>172.31.18.213</t>
  </si>
  <si>
    <t>172.31.23.72</t>
  </si>
  <si>
    <t>172.31.31.24</t>
  </si>
  <si>
    <t>172.31.27.58</t>
  </si>
  <si>
    <t>172.31.17.169</t>
  </si>
  <si>
    <t>172.31.28.12</t>
  </si>
  <si>
    <t>172.31.20.85</t>
  </si>
  <si>
    <t>172.31.24.7</t>
  </si>
  <si>
    <t>172.31.29.177</t>
  </si>
  <si>
    <t>172.31.18.111</t>
  </si>
  <si>
    <t>172.31.18.88</t>
  </si>
  <si>
    <t>172.31.27.94</t>
  </si>
  <si>
    <t>172.31.28.207</t>
  </si>
  <si>
    <t>172.31.28.32</t>
  </si>
  <si>
    <t>172.31.22.108</t>
  </si>
  <si>
    <t>172.31.19.189</t>
  </si>
  <si>
    <t>172.31.16.175</t>
  </si>
  <si>
    <t>172.31.29.98</t>
  </si>
  <si>
    <t>172.31.26.82</t>
  </si>
  <si>
    <t>172.31.23.103</t>
  </si>
  <si>
    <t xml:space="preserve"> sftp -i p2pstorage.pem ec2-user@172.31.16.10:/home/ec2-user/node/logs/c01-t2-small_workload.csv</t>
  </si>
  <si>
    <t>_workload.csv</t>
  </si>
  <si>
    <t>:node/logs/</t>
  </si>
  <si>
    <t>sleep 10</t>
  </si>
  <si>
    <t>sleep 30</t>
  </si>
  <si>
    <t>c01-t2-small 172.31.16.10</t>
  </si>
  <si>
    <t>0 0</t>
  </si>
  <si>
    <t>172.31.16.91</t>
  </si>
  <si>
    <t>mput upload/*</t>
  </si>
  <si>
    <t>:node &lt;&lt;&lt; $</t>
  </si>
  <si>
    <t>:node/lib &lt;&lt;&lt; $</t>
  </si>
  <si>
    <t>mput upload/lib/*</t>
  </si>
  <si>
    <t>cd node; nohup ./startServer.sh</t>
  </si>
  <si>
    <t>0 0 0</t>
  </si>
  <si>
    <t>c5-xlarge</t>
  </si>
  <si>
    <t>c5-2xlarge</t>
  </si>
  <si>
    <t>c5-4xlarge</t>
  </si>
  <si>
    <t>c01-c5-4xlarge</t>
  </si>
  <si>
    <t>c02-t2-small</t>
  </si>
  <si>
    <t>c03-t2-small</t>
  </si>
  <si>
    <t>c04-t2-small</t>
  </si>
  <si>
    <t>c05-t2-medium</t>
  </si>
  <si>
    <t>c06-t2-medium</t>
  </si>
  <si>
    <t>c07-t2-medium</t>
  </si>
  <si>
    <t>c08-c5-xlarge</t>
  </si>
  <si>
    <t>c09-c5-xlarge</t>
  </si>
  <si>
    <t>c10-c5-2xlarge</t>
  </si>
  <si>
    <t>c12-t2-small</t>
  </si>
  <si>
    <t>c11-c5-4xlarge</t>
  </si>
  <si>
    <t>c13-t2-small</t>
  </si>
  <si>
    <t>c14-t2-small</t>
  </si>
  <si>
    <t>c15-t2-medium</t>
  </si>
  <si>
    <t>c16-t2-medium</t>
  </si>
  <si>
    <t>c17-t2-medium</t>
  </si>
  <si>
    <t>c18-c5-xlarge</t>
  </si>
  <si>
    <t>c19-c5-xlarge</t>
  </si>
  <si>
    <t>c20-c5-2xlarge</t>
  </si>
  <si>
    <t>c01-c5-4xlarge 172.31.16.10 59001</t>
  </si>
  <si>
    <t>c11-c5-4xlarge 172.31.21.44 59001</t>
  </si>
  <si>
    <t>c21-c5-4xlarge</t>
  </si>
  <si>
    <t>c22-t2-small</t>
  </si>
  <si>
    <t>c23-t2-small</t>
  </si>
  <si>
    <t>c24-t2-small</t>
  </si>
  <si>
    <t>c25-t2-medium</t>
  </si>
  <si>
    <t>c26-t2-medium</t>
  </si>
  <si>
    <t>c27-t2-medium</t>
  </si>
  <si>
    <t>c28-c5-xlarge</t>
  </si>
  <si>
    <t>c29-c5-xlarge</t>
  </si>
  <si>
    <t>c30-c5-2xlarge</t>
  </si>
  <si>
    <t>c31-c5-4xlarge</t>
  </si>
  <si>
    <t>c32-t2-small</t>
  </si>
  <si>
    <t>c33-t2-small</t>
  </si>
  <si>
    <t>c34-t2-small</t>
  </si>
  <si>
    <t>c35-t2-medium</t>
  </si>
  <si>
    <t>c36-t2-medium</t>
  </si>
  <si>
    <t>c37-t2-medium</t>
  </si>
  <si>
    <t>c38-c5-xlarge</t>
  </si>
  <si>
    <t>c39-c5-xlarge</t>
  </si>
  <si>
    <t>c40-c5-2xlarge</t>
  </si>
  <si>
    <t>c41-c5-4xlarge</t>
  </si>
  <si>
    <t>c42-t2-small</t>
  </si>
  <si>
    <t>c43-t2-small</t>
  </si>
  <si>
    <t>c44-t2-small</t>
  </si>
  <si>
    <t>c45-t2-medium</t>
  </si>
  <si>
    <t>c46-t2-medium</t>
  </si>
  <si>
    <t>c47-t2-medium</t>
  </si>
  <si>
    <t>c48-c5-xlarge</t>
  </si>
  <si>
    <t>c49-c5-xlarge</t>
  </si>
  <si>
    <t>c50-c5-2xlarge</t>
  </si>
  <si>
    <t>c51-c5-4xlarge</t>
  </si>
  <si>
    <t>c52-t2-small</t>
  </si>
  <si>
    <t>c53-t2-small</t>
  </si>
  <si>
    <t>c54-t2-small</t>
  </si>
  <si>
    <t>c55-t2-medium</t>
  </si>
  <si>
    <t>c56-t2-medium</t>
  </si>
  <si>
    <t>c57-t2-medium</t>
  </si>
  <si>
    <t>c58-c5-xlarge</t>
  </si>
  <si>
    <t>c59-c5-xlarge</t>
  </si>
  <si>
    <t>c60-c5-2xlarge</t>
  </si>
  <si>
    <t>c61-c5-4xlarge</t>
  </si>
  <si>
    <t>c62-t2-small</t>
  </si>
  <si>
    <t>c63-t2-small</t>
  </si>
  <si>
    <t>c64-t2-small</t>
  </si>
  <si>
    <t>c65-t2-medium</t>
  </si>
  <si>
    <t>c66-t2-medium</t>
  </si>
  <si>
    <t>c67-t2-medium</t>
  </si>
  <si>
    <t>c68-c5-xlarge</t>
  </si>
  <si>
    <t>c69-c5-xlarge</t>
  </si>
  <si>
    <t>c70-c5-2xlarge</t>
  </si>
  <si>
    <t>c71-c5-4xlarge</t>
  </si>
  <si>
    <t>c72-t2-small</t>
  </si>
  <si>
    <t>c73-t2-small</t>
  </si>
  <si>
    <t>c74-t2-small</t>
  </si>
  <si>
    <t>c75-t2-medium</t>
  </si>
  <si>
    <t>c76-t2-medium</t>
  </si>
  <si>
    <t>c77-t2-medium</t>
  </si>
  <si>
    <t>c78-c5-xlarge</t>
  </si>
  <si>
    <t>c79-c5-xlarge</t>
  </si>
  <si>
    <t>c80-c5-2xlarge</t>
  </si>
  <si>
    <t>c81-c5-4xlarge</t>
  </si>
  <si>
    <t>c82-t2-small</t>
  </si>
  <si>
    <t>c83-t2-small</t>
  </si>
  <si>
    <t>c84-t2-small</t>
  </si>
  <si>
    <t>c85-t2-medium</t>
  </si>
  <si>
    <t>c86-t2-medium</t>
  </si>
  <si>
    <t>c87-t2-medium</t>
  </si>
  <si>
    <t>c88-c5-xlarge</t>
  </si>
  <si>
    <t>c89-c5-xlarge</t>
  </si>
  <si>
    <t>c90-c5-2xlarge</t>
  </si>
  <si>
    <t>c91-c5-4xlarge</t>
  </si>
  <si>
    <t>c92-t2-small</t>
  </si>
  <si>
    <t>c93-t2-small</t>
  </si>
  <si>
    <t>c94-t2-small</t>
  </si>
  <si>
    <t>c95-t2-medium</t>
  </si>
  <si>
    <t>c96-t2-medium</t>
  </si>
  <si>
    <t>c97-t2-medium</t>
  </si>
  <si>
    <t>c98-c5-xlarge</t>
  </si>
  <si>
    <t>c99-c5-xlarge</t>
  </si>
  <si>
    <t>c100-c5-2xlarge</t>
  </si>
  <si>
    <t>c21-c5-4xlarge 172.31.18.213 59001</t>
  </si>
  <si>
    <t>c31-c5-4xlarge 172.31.18.88 59001</t>
  </si>
  <si>
    <t>c41-c5-4xlarge 172.31.29.34 59001</t>
  </si>
  <si>
    <t>c51-c5-4xlarge 172.31.29.11 59001</t>
  </si>
  <si>
    <t>c61-c5-4xlarge 172.31.27.188 59001</t>
  </si>
  <si>
    <t>c71-c5-4xlarge 172.31.28.114 59001</t>
  </si>
  <si>
    <t>c81-c5-4xlarge 172.31.29.142 59001</t>
  </si>
  <si>
    <t>c91-c5-4xlarge 172.31.22.253 59001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</si>
</sst>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DC63-37F7-430D-9304-477C70ABC49E}">
  <dimension ref="B3:F14"/>
  <sheetViews>
    <sheetView workbookViewId="0">
      <selection activeCell="J19" sqref="J19"/>
    </sheetView>
  </sheetViews>
  <sheetFormatPr defaultRowHeight="15" x14ac:dyDescent="0.25"/>
  <cols>
    <col min="2" max="2" width="14.7109375" customWidth="1"/>
    <col min="3" max="3" width="10.7109375" customWidth="1"/>
  </cols>
  <sheetData>
    <row r="3" spans="2:6" x14ac:dyDescent="0.25">
      <c r="C3" t="s">
        <v>4</v>
      </c>
      <c r="E3" t="s">
        <v>5</v>
      </c>
    </row>
    <row r="4" spans="2:6" x14ac:dyDescent="0.25">
      <c r="C4" t="s">
        <v>1</v>
      </c>
      <c r="D4" t="s">
        <v>2</v>
      </c>
      <c r="E4" t="s">
        <v>1</v>
      </c>
      <c r="F4" t="s">
        <v>2</v>
      </c>
    </row>
    <row r="5" spans="2:6" x14ac:dyDescent="0.25">
      <c r="B5" t="s">
        <v>0</v>
      </c>
      <c r="C5" s="1">
        <v>0.4070833333333333</v>
      </c>
      <c r="D5" s="1">
        <v>0.41607638888888893</v>
      </c>
      <c r="E5" s="1">
        <v>0.41666666666666669</v>
      </c>
      <c r="F5" s="1">
        <v>0.42696759259259259</v>
      </c>
    </row>
    <row r="6" spans="2:6" x14ac:dyDescent="0.25">
      <c r="B6" t="s">
        <v>3</v>
      </c>
      <c r="C6" s="1">
        <v>0.43207175925925928</v>
      </c>
      <c r="D6" s="1">
        <v>0.44114583333333335</v>
      </c>
      <c r="E6" s="1">
        <v>0.41666666666666669</v>
      </c>
      <c r="F6" s="1">
        <v>0.45067129629629626</v>
      </c>
    </row>
    <row r="7" spans="2:6" x14ac:dyDescent="0.25">
      <c r="B7" t="s">
        <v>6</v>
      </c>
      <c r="C7" s="1">
        <v>0.53680555555555554</v>
      </c>
      <c r="D7" s="1">
        <v>0.54590277777777774</v>
      </c>
      <c r="E7" s="1">
        <v>0.54652777777777783</v>
      </c>
      <c r="F7" s="1">
        <v>0.55560185185185185</v>
      </c>
    </row>
    <row r="8" spans="2:6" x14ac:dyDescent="0.25">
      <c r="B8" t="s">
        <v>7</v>
      </c>
      <c r="C8" s="1">
        <v>0.57152777777777775</v>
      </c>
      <c r="D8" s="1">
        <v>0.58153935185185179</v>
      </c>
      <c r="E8" s="1">
        <v>0.58263888888888882</v>
      </c>
      <c r="F8" s="1">
        <v>0.5916203703703703</v>
      </c>
    </row>
    <row r="9" spans="2:6" x14ac:dyDescent="0.25">
      <c r="B9" t="s">
        <v>41</v>
      </c>
      <c r="C9" s="1">
        <v>8.818287037037037E-2</v>
      </c>
      <c r="D9" s="1">
        <v>9.9270833333333322E-2</v>
      </c>
      <c r="E9" s="1">
        <v>9.9293981481481483E-2</v>
      </c>
      <c r="F9" s="1">
        <v>0.10880787037037037</v>
      </c>
    </row>
    <row r="10" spans="2:6" x14ac:dyDescent="0.25">
      <c r="B10" t="s">
        <v>42</v>
      </c>
      <c r="C10" s="1">
        <v>0.21525462962962963</v>
      </c>
      <c r="D10" s="1">
        <v>0.22773148148148148</v>
      </c>
      <c r="E10" s="1">
        <v>0.22847222222222222</v>
      </c>
      <c r="F10" s="1">
        <v>0.23879629629629628</v>
      </c>
    </row>
    <row r="11" spans="2:6" x14ac:dyDescent="0.25">
      <c r="B11" t="s">
        <v>65</v>
      </c>
      <c r="C11" s="1">
        <v>0.28888888888888892</v>
      </c>
      <c r="D11" s="1">
        <v>0.30997685185185186</v>
      </c>
      <c r="E11" s="1">
        <v>0.30763888888888891</v>
      </c>
      <c r="F11" s="1">
        <v>0.32159722222222226</v>
      </c>
    </row>
    <row r="12" spans="2:6" x14ac:dyDescent="0.25">
      <c r="B12" t="s">
        <v>66</v>
      </c>
      <c r="C12" s="1">
        <v>0.33097222222222222</v>
      </c>
      <c r="D12" s="1">
        <v>0.34190972222222221</v>
      </c>
      <c r="E12" s="1">
        <v>0.34219907407407407</v>
      </c>
      <c r="F12" s="1">
        <v>0.35224537037037035</v>
      </c>
    </row>
    <row r="13" spans="2:6" x14ac:dyDescent="0.25">
      <c r="B13" t="s">
        <v>67</v>
      </c>
      <c r="C13" s="1">
        <v>0.37291666666666662</v>
      </c>
      <c r="D13" s="1">
        <v>0.38289351851851849</v>
      </c>
      <c r="E13" s="1">
        <v>0.3833333333333333</v>
      </c>
      <c r="F13" s="1">
        <v>0.39230324074074074</v>
      </c>
    </row>
    <row r="14" spans="2:6" x14ac:dyDescent="0.25">
      <c r="B14" t="s">
        <v>90</v>
      </c>
      <c r="C14" s="1">
        <v>0.40303240740740742</v>
      </c>
      <c r="D14" s="1">
        <v>0.41273148148148148</v>
      </c>
      <c r="E14" s="1">
        <v>0.41319444444444442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B66D-47B5-4D43-8E81-BD66C77D8A36}">
  <dimension ref="A1:H105"/>
  <sheetViews>
    <sheetView workbookViewId="0">
      <selection activeCell="F97" sqref="F97"/>
    </sheetView>
  </sheetViews>
  <sheetFormatPr defaultRowHeight="15" x14ac:dyDescent="0.25"/>
  <cols>
    <col min="3" max="4" width="14.5703125" bestFit="1" customWidth="1"/>
    <col min="5" max="5" width="14.7109375" customWidth="1"/>
    <col min="6" max="6" width="33.42578125" customWidth="1"/>
  </cols>
  <sheetData>
    <row r="1" spans="1:8" x14ac:dyDescent="0.25">
      <c r="B1">
        <v>59001</v>
      </c>
    </row>
    <row r="2" spans="1:8" x14ac:dyDescent="0.25">
      <c r="B2" s="2" t="s">
        <v>93</v>
      </c>
      <c r="C2" t="s">
        <v>157</v>
      </c>
      <c r="D2" t="str">
        <f>"c"&amp;B2&amp;"-"&amp;C2</f>
        <v>c01-c5-4xlarge</v>
      </c>
      <c r="E2" t="s">
        <v>102</v>
      </c>
      <c r="F2" t="s">
        <v>154</v>
      </c>
      <c r="H2" t="s">
        <v>158</v>
      </c>
    </row>
    <row r="3" spans="1:8" x14ac:dyDescent="0.25">
      <c r="B3" s="2" t="s">
        <v>94</v>
      </c>
      <c r="C3" t="s">
        <v>8</v>
      </c>
      <c r="D3" t="str">
        <f t="shared" ref="D3:D21" si="0">"c"&amp;B3&amp;"-"&amp;C3</f>
        <v>c02-t2-small</v>
      </c>
      <c r="E3" t="s">
        <v>103</v>
      </c>
      <c r="F3" t="s">
        <v>178</v>
      </c>
      <c r="H3" t="s">
        <v>159</v>
      </c>
    </row>
    <row r="4" spans="1:8" x14ac:dyDescent="0.25">
      <c r="B4" s="2" t="s">
        <v>95</v>
      </c>
      <c r="C4" t="s">
        <v>8</v>
      </c>
      <c r="D4" t="str">
        <f t="shared" si="0"/>
        <v>c03-t2-small</v>
      </c>
      <c r="E4" t="s">
        <v>104</v>
      </c>
      <c r="F4" t="s">
        <v>178</v>
      </c>
      <c r="H4" t="s">
        <v>160</v>
      </c>
    </row>
    <row r="5" spans="1:8" x14ac:dyDescent="0.25">
      <c r="A5" t="s">
        <v>13</v>
      </c>
      <c r="B5" s="2" t="s">
        <v>96</v>
      </c>
      <c r="C5" t="s">
        <v>8</v>
      </c>
      <c r="D5" t="str">
        <f t="shared" si="0"/>
        <v>c04-t2-small</v>
      </c>
      <c r="E5" t="s">
        <v>105</v>
      </c>
      <c r="F5" t="s">
        <v>178</v>
      </c>
      <c r="H5" t="s">
        <v>161</v>
      </c>
    </row>
    <row r="6" spans="1:8" x14ac:dyDescent="0.25">
      <c r="B6" s="2" t="s">
        <v>97</v>
      </c>
      <c r="C6" t="s">
        <v>9</v>
      </c>
      <c r="D6" t="str">
        <f t="shared" si="0"/>
        <v>c05-t2-medium</v>
      </c>
      <c r="E6" t="s">
        <v>106</v>
      </c>
      <c r="F6" t="s">
        <v>178</v>
      </c>
      <c r="H6" t="s">
        <v>162</v>
      </c>
    </row>
    <row r="7" spans="1:8" x14ac:dyDescent="0.25">
      <c r="B7" s="2" t="s">
        <v>98</v>
      </c>
      <c r="C7" t="s">
        <v>9</v>
      </c>
      <c r="D7" t="str">
        <f t="shared" si="0"/>
        <v>c06-t2-medium</v>
      </c>
      <c r="E7" t="s">
        <v>107</v>
      </c>
      <c r="F7" t="s">
        <v>178</v>
      </c>
      <c r="H7" t="s">
        <v>163</v>
      </c>
    </row>
    <row r="8" spans="1:8" x14ac:dyDescent="0.25">
      <c r="B8" s="2" t="s">
        <v>99</v>
      </c>
      <c r="C8" t="s">
        <v>9</v>
      </c>
      <c r="D8" t="str">
        <f t="shared" si="0"/>
        <v>c07-t2-medium</v>
      </c>
      <c r="E8" t="s">
        <v>108</v>
      </c>
      <c r="F8" t="s">
        <v>178</v>
      </c>
      <c r="H8" t="s">
        <v>164</v>
      </c>
    </row>
    <row r="9" spans="1:8" x14ac:dyDescent="0.25">
      <c r="B9" s="2" t="s">
        <v>100</v>
      </c>
      <c r="C9" t="s">
        <v>155</v>
      </c>
      <c r="D9" t="str">
        <f t="shared" si="0"/>
        <v>c08-c5-xlarge</v>
      </c>
      <c r="E9" t="s">
        <v>109</v>
      </c>
      <c r="F9" t="s">
        <v>178</v>
      </c>
      <c r="H9" t="s">
        <v>165</v>
      </c>
    </row>
    <row r="10" spans="1:8" x14ac:dyDescent="0.25">
      <c r="B10" s="2" t="s">
        <v>101</v>
      </c>
      <c r="C10" t="s">
        <v>155</v>
      </c>
      <c r="D10" t="str">
        <f t="shared" si="0"/>
        <v>c09-c5-xlarge</v>
      </c>
      <c r="E10" t="s">
        <v>110</v>
      </c>
      <c r="F10" t="s">
        <v>178</v>
      </c>
      <c r="H10" t="s">
        <v>166</v>
      </c>
    </row>
    <row r="11" spans="1:8" x14ac:dyDescent="0.25">
      <c r="B11">
        <v>10</v>
      </c>
      <c r="C11" t="s">
        <v>156</v>
      </c>
      <c r="D11" t="str">
        <f t="shared" si="0"/>
        <v>c10-c5-2xlarge</v>
      </c>
      <c r="E11" t="s">
        <v>111</v>
      </c>
      <c r="F11" t="s">
        <v>178</v>
      </c>
      <c r="H11" t="s">
        <v>167</v>
      </c>
    </row>
    <row r="12" spans="1:8" x14ac:dyDescent="0.25">
      <c r="B12">
        <v>11</v>
      </c>
      <c r="C12" t="s">
        <v>157</v>
      </c>
      <c r="D12" t="str">
        <f>"c"&amp;B12&amp;"-"&amp;C12</f>
        <v>c11-c5-4xlarge</v>
      </c>
      <c r="E12" t="s">
        <v>112</v>
      </c>
      <c r="F12" t="s">
        <v>178</v>
      </c>
      <c r="H12" t="s">
        <v>169</v>
      </c>
    </row>
    <row r="13" spans="1:8" x14ac:dyDescent="0.25">
      <c r="B13">
        <v>12</v>
      </c>
      <c r="C13" t="s">
        <v>8</v>
      </c>
      <c r="D13" t="str">
        <f t="shared" si="0"/>
        <v>c12-t2-small</v>
      </c>
      <c r="E13" t="s">
        <v>113</v>
      </c>
      <c r="F13" t="s">
        <v>179</v>
      </c>
      <c r="H13" t="s">
        <v>168</v>
      </c>
    </row>
    <row r="14" spans="1:8" x14ac:dyDescent="0.25">
      <c r="B14">
        <v>13</v>
      </c>
      <c r="C14" t="s">
        <v>8</v>
      </c>
      <c r="D14" t="str">
        <f t="shared" si="0"/>
        <v>c13-t2-small</v>
      </c>
      <c r="E14" t="s">
        <v>114</v>
      </c>
      <c r="F14" t="s">
        <v>179</v>
      </c>
      <c r="H14" t="s">
        <v>170</v>
      </c>
    </row>
    <row r="15" spans="1:8" x14ac:dyDescent="0.25">
      <c r="B15">
        <v>14</v>
      </c>
      <c r="C15" t="s">
        <v>8</v>
      </c>
      <c r="D15" t="str">
        <f t="shared" si="0"/>
        <v>c14-t2-small</v>
      </c>
      <c r="E15" t="s">
        <v>115</v>
      </c>
      <c r="F15" t="s">
        <v>179</v>
      </c>
      <c r="H15" t="s">
        <v>171</v>
      </c>
    </row>
    <row r="16" spans="1:8" x14ac:dyDescent="0.25">
      <c r="B16">
        <v>15</v>
      </c>
      <c r="C16" t="s">
        <v>9</v>
      </c>
      <c r="D16" t="str">
        <f t="shared" si="0"/>
        <v>c15-t2-medium</v>
      </c>
      <c r="E16" t="s">
        <v>116</v>
      </c>
      <c r="F16" t="s">
        <v>179</v>
      </c>
      <c r="H16" t="s">
        <v>172</v>
      </c>
    </row>
    <row r="17" spans="2:8" x14ac:dyDescent="0.25">
      <c r="B17">
        <v>16</v>
      </c>
      <c r="C17" t="s">
        <v>9</v>
      </c>
      <c r="D17" t="str">
        <f t="shared" si="0"/>
        <v>c16-t2-medium</v>
      </c>
      <c r="E17" t="s">
        <v>117</v>
      </c>
      <c r="F17" t="s">
        <v>179</v>
      </c>
      <c r="H17" t="s">
        <v>173</v>
      </c>
    </row>
    <row r="18" spans="2:8" x14ac:dyDescent="0.25">
      <c r="B18">
        <v>17</v>
      </c>
      <c r="C18" t="s">
        <v>9</v>
      </c>
      <c r="D18" t="str">
        <f t="shared" si="0"/>
        <v>c17-t2-medium</v>
      </c>
      <c r="E18" t="s">
        <v>118</v>
      </c>
      <c r="F18" t="s">
        <v>179</v>
      </c>
      <c r="H18" t="s">
        <v>174</v>
      </c>
    </row>
    <row r="19" spans="2:8" x14ac:dyDescent="0.25">
      <c r="B19">
        <v>18</v>
      </c>
      <c r="C19" t="s">
        <v>155</v>
      </c>
      <c r="D19" t="str">
        <f t="shared" si="0"/>
        <v>c18-c5-xlarge</v>
      </c>
      <c r="E19" t="s">
        <v>148</v>
      </c>
      <c r="F19" t="s">
        <v>179</v>
      </c>
      <c r="H19" t="s">
        <v>175</v>
      </c>
    </row>
    <row r="20" spans="2:8" x14ac:dyDescent="0.25">
      <c r="B20">
        <v>19</v>
      </c>
      <c r="C20" t="s">
        <v>155</v>
      </c>
      <c r="D20" t="str">
        <f t="shared" si="0"/>
        <v>c19-c5-xlarge</v>
      </c>
      <c r="E20" t="s">
        <v>119</v>
      </c>
      <c r="F20" t="s">
        <v>179</v>
      </c>
      <c r="H20" t="s">
        <v>176</v>
      </c>
    </row>
    <row r="21" spans="2:8" x14ac:dyDescent="0.25">
      <c r="B21">
        <v>20</v>
      </c>
      <c r="C21" t="s">
        <v>156</v>
      </c>
      <c r="D21" t="str">
        <f t="shared" si="0"/>
        <v>c20-c5-2xlarge</v>
      </c>
      <c r="E21" t="s">
        <v>120</v>
      </c>
      <c r="F21" t="s">
        <v>179</v>
      </c>
      <c r="H21" t="s">
        <v>177</v>
      </c>
    </row>
    <row r="23" spans="2:8" x14ac:dyDescent="0.25">
      <c r="B23">
        <v>21</v>
      </c>
      <c r="C23" t="s">
        <v>157</v>
      </c>
      <c r="D23" t="str">
        <f>"c"&amp;B23&amp;"-"&amp;C23</f>
        <v>c21-c5-4xlarge</v>
      </c>
      <c r="E23" t="s">
        <v>121</v>
      </c>
      <c r="F23" t="s">
        <v>179</v>
      </c>
      <c r="H23" t="s">
        <v>180</v>
      </c>
    </row>
    <row r="24" spans="2:8" x14ac:dyDescent="0.25">
      <c r="B24">
        <v>22</v>
      </c>
      <c r="C24" t="s">
        <v>8</v>
      </c>
      <c r="D24" t="str">
        <f t="shared" ref="D24:D42" si="1">"c"&amp;B24&amp;"-"&amp;C24</f>
        <v>c22-t2-small</v>
      </c>
      <c r="E24" t="s">
        <v>122</v>
      </c>
      <c r="F24" t="s">
        <v>260</v>
      </c>
      <c r="H24" t="s">
        <v>181</v>
      </c>
    </row>
    <row r="25" spans="2:8" x14ac:dyDescent="0.25">
      <c r="B25">
        <v>23</v>
      </c>
      <c r="C25" t="s">
        <v>8</v>
      </c>
      <c r="D25" t="str">
        <f t="shared" si="1"/>
        <v>c23-t2-small</v>
      </c>
      <c r="E25" t="s">
        <v>123</v>
      </c>
      <c r="F25" t="s">
        <v>260</v>
      </c>
      <c r="H25" t="s">
        <v>182</v>
      </c>
    </row>
    <row r="26" spans="2:8" x14ac:dyDescent="0.25">
      <c r="B26">
        <v>24</v>
      </c>
      <c r="C26" t="s">
        <v>8</v>
      </c>
      <c r="D26" t="str">
        <f t="shared" si="1"/>
        <v>c24-t2-small</v>
      </c>
      <c r="E26" t="s">
        <v>124</v>
      </c>
      <c r="F26" t="s">
        <v>260</v>
      </c>
      <c r="H26" t="s">
        <v>183</v>
      </c>
    </row>
    <row r="27" spans="2:8" x14ac:dyDescent="0.25">
      <c r="B27">
        <v>25</v>
      </c>
      <c r="C27" t="s">
        <v>9</v>
      </c>
      <c r="D27" t="str">
        <f t="shared" si="1"/>
        <v>c25-t2-medium</v>
      </c>
      <c r="E27" t="s">
        <v>125</v>
      </c>
      <c r="F27" t="s">
        <v>260</v>
      </c>
      <c r="H27" t="s">
        <v>184</v>
      </c>
    </row>
    <row r="28" spans="2:8" x14ac:dyDescent="0.25">
      <c r="B28">
        <v>26</v>
      </c>
      <c r="C28" t="s">
        <v>9</v>
      </c>
      <c r="D28" t="str">
        <f t="shared" si="1"/>
        <v>c26-t2-medium</v>
      </c>
      <c r="E28" t="s">
        <v>126</v>
      </c>
      <c r="F28" t="s">
        <v>260</v>
      </c>
      <c r="H28" t="s">
        <v>185</v>
      </c>
    </row>
    <row r="29" spans="2:8" x14ac:dyDescent="0.25">
      <c r="B29">
        <v>27</v>
      </c>
      <c r="C29" t="s">
        <v>9</v>
      </c>
      <c r="D29" t="str">
        <f t="shared" si="1"/>
        <v>c27-t2-medium</v>
      </c>
      <c r="E29" t="s">
        <v>127</v>
      </c>
      <c r="F29" t="s">
        <v>260</v>
      </c>
      <c r="H29" t="s">
        <v>186</v>
      </c>
    </row>
    <row r="30" spans="2:8" x14ac:dyDescent="0.25">
      <c r="B30">
        <v>28</v>
      </c>
      <c r="C30" t="s">
        <v>155</v>
      </c>
      <c r="D30" t="str">
        <f t="shared" si="1"/>
        <v>c28-c5-xlarge</v>
      </c>
      <c r="E30" t="s">
        <v>128</v>
      </c>
      <c r="F30" t="s">
        <v>260</v>
      </c>
      <c r="H30" t="s">
        <v>187</v>
      </c>
    </row>
    <row r="31" spans="2:8" x14ac:dyDescent="0.25">
      <c r="B31">
        <v>29</v>
      </c>
      <c r="C31" t="s">
        <v>155</v>
      </c>
      <c r="D31" t="str">
        <f t="shared" si="1"/>
        <v>c29-c5-xlarge</v>
      </c>
      <c r="E31" t="s">
        <v>129</v>
      </c>
      <c r="F31" t="s">
        <v>260</v>
      </c>
      <c r="H31" t="s">
        <v>188</v>
      </c>
    </row>
    <row r="32" spans="2:8" x14ac:dyDescent="0.25">
      <c r="B32">
        <v>30</v>
      </c>
      <c r="C32" t="s">
        <v>156</v>
      </c>
      <c r="D32" t="str">
        <f t="shared" si="1"/>
        <v>c30-c5-2xlarge</v>
      </c>
      <c r="E32" t="s">
        <v>130</v>
      </c>
      <c r="F32" t="s">
        <v>260</v>
      </c>
      <c r="H32" t="s">
        <v>189</v>
      </c>
    </row>
    <row r="33" spans="2:8" x14ac:dyDescent="0.25">
      <c r="B33">
        <v>31</v>
      </c>
      <c r="C33" t="s">
        <v>157</v>
      </c>
      <c r="D33" t="str">
        <f t="shared" si="1"/>
        <v>c31-c5-4xlarge</v>
      </c>
      <c r="E33" t="s">
        <v>131</v>
      </c>
      <c r="F33" t="s">
        <v>260</v>
      </c>
      <c r="H33" t="s">
        <v>190</v>
      </c>
    </row>
    <row r="34" spans="2:8" x14ac:dyDescent="0.25">
      <c r="B34">
        <v>32</v>
      </c>
      <c r="C34" t="s">
        <v>8</v>
      </c>
      <c r="D34" t="str">
        <f t="shared" si="1"/>
        <v>c32-t2-small</v>
      </c>
      <c r="E34" t="s">
        <v>132</v>
      </c>
      <c r="F34" t="s">
        <v>261</v>
      </c>
      <c r="H34" t="s">
        <v>191</v>
      </c>
    </row>
    <row r="35" spans="2:8" x14ac:dyDescent="0.25">
      <c r="B35">
        <v>33</v>
      </c>
      <c r="C35" t="s">
        <v>8</v>
      </c>
      <c r="D35" t="str">
        <f t="shared" si="1"/>
        <v>c33-t2-small</v>
      </c>
      <c r="E35" t="s">
        <v>133</v>
      </c>
      <c r="F35" t="s">
        <v>261</v>
      </c>
      <c r="H35" t="s">
        <v>192</v>
      </c>
    </row>
    <row r="36" spans="2:8" x14ac:dyDescent="0.25">
      <c r="B36">
        <v>34</v>
      </c>
      <c r="C36" t="s">
        <v>8</v>
      </c>
      <c r="D36" t="str">
        <f t="shared" si="1"/>
        <v>c34-t2-small</v>
      </c>
      <c r="E36" t="s">
        <v>134</v>
      </c>
      <c r="F36" t="s">
        <v>261</v>
      </c>
      <c r="H36" t="s">
        <v>193</v>
      </c>
    </row>
    <row r="37" spans="2:8" x14ac:dyDescent="0.25">
      <c r="B37">
        <v>35</v>
      </c>
      <c r="C37" t="s">
        <v>9</v>
      </c>
      <c r="D37" t="str">
        <f t="shared" si="1"/>
        <v>c35-t2-medium</v>
      </c>
      <c r="E37" t="s">
        <v>135</v>
      </c>
      <c r="F37" t="s">
        <v>261</v>
      </c>
      <c r="H37" t="s">
        <v>194</v>
      </c>
    </row>
    <row r="38" spans="2:8" x14ac:dyDescent="0.25">
      <c r="B38">
        <v>36</v>
      </c>
      <c r="C38" t="s">
        <v>9</v>
      </c>
      <c r="D38" t="str">
        <f t="shared" si="1"/>
        <v>c36-t2-medium</v>
      </c>
      <c r="E38" t="s">
        <v>136</v>
      </c>
      <c r="F38" t="s">
        <v>261</v>
      </c>
      <c r="H38" t="s">
        <v>195</v>
      </c>
    </row>
    <row r="39" spans="2:8" x14ac:dyDescent="0.25">
      <c r="B39">
        <v>37</v>
      </c>
      <c r="C39" t="s">
        <v>9</v>
      </c>
      <c r="D39" t="str">
        <f t="shared" si="1"/>
        <v>c37-t2-medium</v>
      </c>
      <c r="E39" t="s">
        <v>137</v>
      </c>
      <c r="F39" t="s">
        <v>261</v>
      </c>
      <c r="H39" t="s">
        <v>196</v>
      </c>
    </row>
    <row r="40" spans="2:8" x14ac:dyDescent="0.25">
      <c r="B40">
        <v>38</v>
      </c>
      <c r="C40" t="s">
        <v>155</v>
      </c>
      <c r="D40" t="str">
        <f t="shared" si="1"/>
        <v>c38-c5-xlarge</v>
      </c>
      <c r="E40" t="s">
        <v>139</v>
      </c>
      <c r="F40" t="s">
        <v>261</v>
      </c>
      <c r="H40" t="s">
        <v>197</v>
      </c>
    </row>
    <row r="41" spans="2:8" x14ac:dyDescent="0.25">
      <c r="B41">
        <v>39</v>
      </c>
      <c r="C41" t="s">
        <v>155</v>
      </c>
      <c r="D41" t="str">
        <f t="shared" si="1"/>
        <v>c39-c5-xlarge</v>
      </c>
      <c r="E41" t="s">
        <v>138</v>
      </c>
      <c r="F41" t="s">
        <v>261</v>
      </c>
      <c r="H41" t="s">
        <v>198</v>
      </c>
    </row>
    <row r="42" spans="2:8" x14ac:dyDescent="0.25">
      <c r="B42">
        <v>40</v>
      </c>
      <c r="C42" t="s">
        <v>156</v>
      </c>
      <c r="D42" t="str">
        <f t="shared" si="1"/>
        <v>c40-c5-2xlarge</v>
      </c>
      <c r="E42" t="s">
        <v>140</v>
      </c>
      <c r="F42" t="s">
        <v>261</v>
      </c>
      <c r="H42" t="s">
        <v>199</v>
      </c>
    </row>
    <row r="44" spans="2:8" x14ac:dyDescent="0.25">
      <c r="B44">
        <v>41</v>
      </c>
      <c r="C44" t="s">
        <v>157</v>
      </c>
      <c r="D44" t="str">
        <f>"c"&amp;B44&amp;"-"&amp;C44</f>
        <v>c41-c5-4xlarge</v>
      </c>
      <c r="E44" t="s">
        <v>14</v>
      </c>
      <c r="F44" t="s">
        <v>261</v>
      </c>
      <c r="H44" t="s">
        <v>200</v>
      </c>
    </row>
    <row r="45" spans="2:8" x14ac:dyDescent="0.25">
      <c r="B45">
        <v>42</v>
      </c>
      <c r="C45" t="s">
        <v>8</v>
      </c>
      <c r="D45" t="str">
        <f t="shared" ref="D45:D63" si="2">"c"&amp;B45&amp;"-"&amp;C45</f>
        <v>c42-t2-small</v>
      </c>
      <c r="E45" t="s">
        <v>15</v>
      </c>
      <c r="F45" t="s">
        <v>262</v>
      </c>
      <c r="H45" t="s">
        <v>201</v>
      </c>
    </row>
    <row r="46" spans="2:8" x14ac:dyDescent="0.25">
      <c r="B46">
        <v>43</v>
      </c>
      <c r="C46" t="s">
        <v>8</v>
      </c>
      <c r="D46" t="str">
        <f t="shared" si="2"/>
        <v>c43-t2-small</v>
      </c>
      <c r="E46" t="s">
        <v>16</v>
      </c>
      <c r="F46" t="s">
        <v>262</v>
      </c>
      <c r="H46" t="s">
        <v>202</v>
      </c>
    </row>
    <row r="47" spans="2:8" x14ac:dyDescent="0.25">
      <c r="B47">
        <v>44</v>
      </c>
      <c r="C47" t="s">
        <v>8</v>
      </c>
      <c r="D47" t="str">
        <f t="shared" si="2"/>
        <v>c44-t2-small</v>
      </c>
      <c r="E47" t="s">
        <v>17</v>
      </c>
      <c r="F47" t="s">
        <v>262</v>
      </c>
      <c r="H47" t="s">
        <v>203</v>
      </c>
    </row>
    <row r="48" spans="2:8" x14ac:dyDescent="0.25">
      <c r="B48">
        <v>45</v>
      </c>
      <c r="C48" t="s">
        <v>9</v>
      </c>
      <c r="D48" t="str">
        <f t="shared" si="2"/>
        <v>c45-t2-medium</v>
      </c>
      <c r="E48" t="s">
        <v>18</v>
      </c>
      <c r="F48" t="s">
        <v>262</v>
      </c>
      <c r="H48" t="s">
        <v>204</v>
      </c>
    </row>
    <row r="49" spans="2:8" x14ac:dyDescent="0.25">
      <c r="B49">
        <v>46</v>
      </c>
      <c r="C49" t="s">
        <v>9</v>
      </c>
      <c r="D49" t="str">
        <f t="shared" si="2"/>
        <v>c46-t2-medium</v>
      </c>
      <c r="E49" t="s">
        <v>19</v>
      </c>
      <c r="F49" t="s">
        <v>262</v>
      </c>
      <c r="H49" t="s">
        <v>205</v>
      </c>
    </row>
    <row r="50" spans="2:8" x14ac:dyDescent="0.25">
      <c r="B50">
        <v>47</v>
      </c>
      <c r="C50" t="s">
        <v>9</v>
      </c>
      <c r="D50" t="str">
        <f t="shared" si="2"/>
        <v>c47-t2-medium</v>
      </c>
      <c r="E50" t="s">
        <v>20</v>
      </c>
      <c r="F50" t="s">
        <v>262</v>
      </c>
      <c r="H50" t="s">
        <v>206</v>
      </c>
    </row>
    <row r="51" spans="2:8" x14ac:dyDescent="0.25">
      <c r="B51">
        <v>48</v>
      </c>
      <c r="C51" t="s">
        <v>155</v>
      </c>
      <c r="D51" t="str">
        <f t="shared" si="2"/>
        <v>c48-c5-xlarge</v>
      </c>
      <c r="E51" t="s">
        <v>21</v>
      </c>
      <c r="F51" t="s">
        <v>262</v>
      </c>
      <c r="H51" t="s">
        <v>207</v>
      </c>
    </row>
    <row r="52" spans="2:8" x14ac:dyDescent="0.25">
      <c r="B52">
        <v>49</v>
      </c>
      <c r="C52" t="s">
        <v>155</v>
      </c>
      <c r="D52" t="str">
        <f t="shared" si="2"/>
        <v>c49-c5-xlarge</v>
      </c>
      <c r="E52" t="s">
        <v>22</v>
      </c>
      <c r="F52" t="s">
        <v>262</v>
      </c>
      <c r="H52" t="s">
        <v>208</v>
      </c>
    </row>
    <row r="53" spans="2:8" x14ac:dyDescent="0.25">
      <c r="B53">
        <v>50</v>
      </c>
      <c r="C53" t="s">
        <v>156</v>
      </c>
      <c r="D53" t="str">
        <f t="shared" si="2"/>
        <v>c50-c5-2xlarge</v>
      </c>
      <c r="E53" t="s">
        <v>23</v>
      </c>
      <c r="F53" t="s">
        <v>262</v>
      </c>
      <c r="H53" t="s">
        <v>209</v>
      </c>
    </row>
    <row r="54" spans="2:8" x14ac:dyDescent="0.25">
      <c r="B54">
        <v>51</v>
      </c>
      <c r="C54" t="s">
        <v>157</v>
      </c>
      <c r="D54" t="str">
        <f t="shared" si="2"/>
        <v>c51-c5-4xlarge</v>
      </c>
      <c r="E54" t="s">
        <v>24</v>
      </c>
      <c r="F54" t="s">
        <v>262</v>
      </c>
      <c r="H54" t="s">
        <v>210</v>
      </c>
    </row>
    <row r="55" spans="2:8" x14ac:dyDescent="0.25">
      <c r="B55">
        <v>52</v>
      </c>
      <c r="C55" t="s">
        <v>8</v>
      </c>
      <c r="D55" t="str">
        <f t="shared" si="2"/>
        <v>c52-t2-small</v>
      </c>
      <c r="E55" t="s">
        <v>25</v>
      </c>
      <c r="F55" t="s">
        <v>263</v>
      </c>
      <c r="H55" t="s">
        <v>211</v>
      </c>
    </row>
    <row r="56" spans="2:8" x14ac:dyDescent="0.25">
      <c r="B56">
        <v>53</v>
      </c>
      <c r="C56" t="s">
        <v>8</v>
      </c>
      <c r="D56" t="str">
        <f t="shared" si="2"/>
        <v>c53-t2-small</v>
      </c>
      <c r="E56" t="s">
        <v>26</v>
      </c>
      <c r="F56" t="s">
        <v>263</v>
      </c>
      <c r="H56" t="s">
        <v>212</v>
      </c>
    </row>
    <row r="57" spans="2:8" x14ac:dyDescent="0.25">
      <c r="B57">
        <v>54</v>
      </c>
      <c r="C57" t="s">
        <v>8</v>
      </c>
      <c r="D57" t="str">
        <f t="shared" si="2"/>
        <v>c54-t2-small</v>
      </c>
      <c r="E57" t="s">
        <v>27</v>
      </c>
      <c r="F57" t="s">
        <v>263</v>
      </c>
      <c r="H57" t="s">
        <v>213</v>
      </c>
    </row>
    <row r="58" spans="2:8" x14ac:dyDescent="0.25">
      <c r="B58">
        <v>55</v>
      </c>
      <c r="C58" t="s">
        <v>9</v>
      </c>
      <c r="D58" t="str">
        <f t="shared" si="2"/>
        <v>c55-t2-medium</v>
      </c>
      <c r="E58" t="s">
        <v>28</v>
      </c>
      <c r="F58" t="s">
        <v>263</v>
      </c>
      <c r="H58" t="s">
        <v>214</v>
      </c>
    </row>
    <row r="59" spans="2:8" x14ac:dyDescent="0.25">
      <c r="B59">
        <v>56</v>
      </c>
      <c r="C59" t="s">
        <v>9</v>
      </c>
      <c r="D59" t="str">
        <f t="shared" si="2"/>
        <v>c56-t2-medium</v>
      </c>
      <c r="E59" t="s">
        <v>29</v>
      </c>
      <c r="F59" t="s">
        <v>263</v>
      </c>
      <c r="H59" t="s">
        <v>215</v>
      </c>
    </row>
    <row r="60" spans="2:8" x14ac:dyDescent="0.25">
      <c r="B60">
        <v>57</v>
      </c>
      <c r="C60" t="s">
        <v>9</v>
      </c>
      <c r="D60" t="str">
        <f t="shared" si="2"/>
        <v>c57-t2-medium</v>
      </c>
      <c r="E60" t="s">
        <v>30</v>
      </c>
      <c r="F60" t="s">
        <v>263</v>
      </c>
      <c r="H60" t="s">
        <v>216</v>
      </c>
    </row>
    <row r="61" spans="2:8" x14ac:dyDescent="0.25">
      <c r="B61">
        <v>58</v>
      </c>
      <c r="C61" t="s">
        <v>155</v>
      </c>
      <c r="D61" t="str">
        <f t="shared" si="2"/>
        <v>c58-c5-xlarge</v>
      </c>
      <c r="E61" t="s">
        <v>31</v>
      </c>
      <c r="F61" t="s">
        <v>263</v>
      </c>
      <c r="H61" t="s">
        <v>217</v>
      </c>
    </row>
    <row r="62" spans="2:8" x14ac:dyDescent="0.25">
      <c r="B62">
        <v>59</v>
      </c>
      <c r="C62" t="s">
        <v>155</v>
      </c>
      <c r="D62" t="str">
        <f t="shared" si="2"/>
        <v>c59-c5-xlarge</v>
      </c>
      <c r="E62" t="s">
        <v>32</v>
      </c>
      <c r="F62" t="s">
        <v>263</v>
      </c>
      <c r="H62" t="s">
        <v>218</v>
      </c>
    </row>
    <row r="63" spans="2:8" x14ac:dyDescent="0.25">
      <c r="B63">
        <v>60</v>
      </c>
      <c r="C63" t="s">
        <v>156</v>
      </c>
      <c r="D63" t="str">
        <f t="shared" si="2"/>
        <v>c60-c5-2xlarge</v>
      </c>
      <c r="E63" t="s">
        <v>33</v>
      </c>
      <c r="F63" t="s">
        <v>263</v>
      </c>
      <c r="H63" t="s">
        <v>219</v>
      </c>
    </row>
    <row r="65" spans="2:8" x14ac:dyDescent="0.25">
      <c r="B65">
        <v>61</v>
      </c>
      <c r="C65" t="s">
        <v>157</v>
      </c>
      <c r="D65" t="str">
        <f>"c"&amp;B65&amp;"-"&amp;C65</f>
        <v>c61-c5-4xlarge</v>
      </c>
      <c r="E65" t="s">
        <v>43</v>
      </c>
      <c r="F65" t="s">
        <v>263</v>
      </c>
      <c r="H65" t="s">
        <v>220</v>
      </c>
    </row>
    <row r="66" spans="2:8" x14ac:dyDescent="0.25">
      <c r="B66">
        <v>62</v>
      </c>
      <c r="C66" t="s">
        <v>8</v>
      </c>
      <c r="D66" t="str">
        <f t="shared" ref="D66:D84" si="3">"c"&amp;B66&amp;"-"&amp;C66</f>
        <v>c62-t2-small</v>
      </c>
      <c r="E66" t="s">
        <v>44</v>
      </c>
      <c r="F66" t="s">
        <v>264</v>
      </c>
      <c r="H66" t="s">
        <v>221</v>
      </c>
    </row>
    <row r="67" spans="2:8" x14ac:dyDescent="0.25">
      <c r="B67">
        <v>63</v>
      </c>
      <c r="C67" t="s">
        <v>8</v>
      </c>
      <c r="D67" t="str">
        <f t="shared" si="3"/>
        <v>c63-t2-small</v>
      </c>
      <c r="E67" t="s">
        <v>45</v>
      </c>
      <c r="F67" t="s">
        <v>264</v>
      </c>
      <c r="H67" t="s">
        <v>222</v>
      </c>
    </row>
    <row r="68" spans="2:8" x14ac:dyDescent="0.25">
      <c r="B68">
        <v>64</v>
      </c>
      <c r="C68" t="s">
        <v>8</v>
      </c>
      <c r="D68" t="str">
        <f t="shared" si="3"/>
        <v>c64-t2-small</v>
      </c>
      <c r="E68" t="s">
        <v>46</v>
      </c>
      <c r="F68" t="s">
        <v>264</v>
      </c>
      <c r="H68" t="s">
        <v>223</v>
      </c>
    </row>
    <row r="69" spans="2:8" x14ac:dyDescent="0.25">
      <c r="B69">
        <v>65</v>
      </c>
      <c r="C69" t="s">
        <v>9</v>
      </c>
      <c r="D69" t="str">
        <f t="shared" si="3"/>
        <v>c65-t2-medium</v>
      </c>
      <c r="E69" t="s">
        <v>47</v>
      </c>
      <c r="F69" t="s">
        <v>264</v>
      </c>
      <c r="H69" t="s">
        <v>224</v>
      </c>
    </row>
    <row r="70" spans="2:8" x14ac:dyDescent="0.25">
      <c r="B70">
        <v>66</v>
      </c>
      <c r="C70" t="s">
        <v>9</v>
      </c>
      <c r="D70" t="str">
        <f t="shared" si="3"/>
        <v>c66-t2-medium</v>
      </c>
      <c r="E70" t="s">
        <v>48</v>
      </c>
      <c r="F70" t="s">
        <v>264</v>
      </c>
      <c r="H70" t="s">
        <v>225</v>
      </c>
    </row>
    <row r="71" spans="2:8" x14ac:dyDescent="0.25">
      <c r="B71">
        <v>67</v>
      </c>
      <c r="C71" t="s">
        <v>9</v>
      </c>
      <c r="D71" t="str">
        <f t="shared" si="3"/>
        <v>c67-t2-medium</v>
      </c>
      <c r="E71" t="s">
        <v>49</v>
      </c>
      <c r="F71" t="s">
        <v>264</v>
      </c>
      <c r="H71" t="s">
        <v>226</v>
      </c>
    </row>
    <row r="72" spans="2:8" x14ac:dyDescent="0.25">
      <c r="B72">
        <v>68</v>
      </c>
      <c r="C72" t="s">
        <v>155</v>
      </c>
      <c r="D72" t="str">
        <f t="shared" si="3"/>
        <v>c68-c5-xlarge</v>
      </c>
      <c r="E72" t="s">
        <v>50</v>
      </c>
      <c r="F72" t="s">
        <v>264</v>
      </c>
      <c r="H72" t="s">
        <v>227</v>
      </c>
    </row>
    <row r="73" spans="2:8" x14ac:dyDescent="0.25">
      <c r="B73">
        <v>69</v>
      </c>
      <c r="C73" t="s">
        <v>155</v>
      </c>
      <c r="D73" t="str">
        <f t="shared" si="3"/>
        <v>c69-c5-xlarge</v>
      </c>
      <c r="E73" t="s">
        <v>51</v>
      </c>
      <c r="F73" t="s">
        <v>264</v>
      </c>
      <c r="H73" t="s">
        <v>228</v>
      </c>
    </row>
    <row r="74" spans="2:8" x14ac:dyDescent="0.25">
      <c r="B74">
        <v>70</v>
      </c>
      <c r="C74" t="s">
        <v>156</v>
      </c>
      <c r="D74" t="str">
        <f t="shared" si="3"/>
        <v>c70-c5-2xlarge</v>
      </c>
      <c r="E74" t="s">
        <v>52</v>
      </c>
      <c r="F74" t="s">
        <v>264</v>
      </c>
      <c r="H74" t="s">
        <v>229</v>
      </c>
    </row>
    <row r="75" spans="2:8" x14ac:dyDescent="0.25">
      <c r="B75">
        <v>71</v>
      </c>
      <c r="C75" t="s">
        <v>157</v>
      </c>
      <c r="D75" t="str">
        <f t="shared" si="3"/>
        <v>c71-c5-4xlarge</v>
      </c>
      <c r="E75" t="s">
        <v>53</v>
      </c>
      <c r="F75" t="s">
        <v>264</v>
      </c>
      <c r="H75" t="s">
        <v>230</v>
      </c>
    </row>
    <row r="76" spans="2:8" x14ac:dyDescent="0.25">
      <c r="B76">
        <v>72</v>
      </c>
      <c r="C76" t="s">
        <v>8</v>
      </c>
      <c r="D76" t="str">
        <f t="shared" si="3"/>
        <v>c72-t2-small</v>
      </c>
      <c r="E76" t="s">
        <v>54</v>
      </c>
      <c r="F76" t="s">
        <v>265</v>
      </c>
      <c r="H76" t="s">
        <v>231</v>
      </c>
    </row>
    <row r="77" spans="2:8" x14ac:dyDescent="0.25">
      <c r="B77">
        <v>73</v>
      </c>
      <c r="C77" t="s">
        <v>8</v>
      </c>
      <c r="D77" t="str">
        <f t="shared" si="3"/>
        <v>c73-t2-small</v>
      </c>
      <c r="E77" t="s">
        <v>55</v>
      </c>
      <c r="F77" t="s">
        <v>265</v>
      </c>
      <c r="H77" t="s">
        <v>232</v>
      </c>
    </row>
    <row r="78" spans="2:8" x14ac:dyDescent="0.25">
      <c r="B78">
        <v>74</v>
      </c>
      <c r="C78" t="s">
        <v>8</v>
      </c>
      <c r="D78" t="str">
        <f t="shared" si="3"/>
        <v>c74-t2-small</v>
      </c>
      <c r="E78" t="s">
        <v>56</v>
      </c>
      <c r="F78" t="s">
        <v>265</v>
      </c>
      <c r="H78" t="s">
        <v>233</v>
      </c>
    </row>
    <row r="79" spans="2:8" x14ac:dyDescent="0.25">
      <c r="B79">
        <v>75</v>
      </c>
      <c r="C79" t="s">
        <v>9</v>
      </c>
      <c r="D79" t="str">
        <f t="shared" si="3"/>
        <v>c75-t2-medium</v>
      </c>
      <c r="E79" t="s">
        <v>57</v>
      </c>
      <c r="F79" t="s">
        <v>265</v>
      </c>
      <c r="H79" t="s">
        <v>234</v>
      </c>
    </row>
    <row r="80" spans="2:8" x14ac:dyDescent="0.25">
      <c r="B80">
        <v>76</v>
      </c>
      <c r="C80" t="s">
        <v>9</v>
      </c>
      <c r="D80" t="str">
        <f t="shared" si="3"/>
        <v>c76-t2-medium</v>
      </c>
      <c r="E80" t="s">
        <v>58</v>
      </c>
      <c r="F80" t="s">
        <v>265</v>
      </c>
      <c r="H80" t="s">
        <v>235</v>
      </c>
    </row>
    <row r="81" spans="2:8" x14ac:dyDescent="0.25">
      <c r="B81">
        <v>77</v>
      </c>
      <c r="C81" t="s">
        <v>9</v>
      </c>
      <c r="D81" t="str">
        <f t="shared" si="3"/>
        <v>c77-t2-medium</v>
      </c>
      <c r="E81" t="s">
        <v>59</v>
      </c>
      <c r="F81" t="s">
        <v>265</v>
      </c>
      <c r="H81" t="s">
        <v>236</v>
      </c>
    </row>
    <row r="82" spans="2:8" x14ac:dyDescent="0.25">
      <c r="B82">
        <v>78</v>
      </c>
      <c r="C82" t="s">
        <v>155</v>
      </c>
      <c r="D82" t="str">
        <f t="shared" si="3"/>
        <v>c78-c5-xlarge</v>
      </c>
      <c r="E82" t="s">
        <v>60</v>
      </c>
      <c r="F82" t="s">
        <v>265</v>
      </c>
      <c r="H82" t="s">
        <v>237</v>
      </c>
    </row>
    <row r="83" spans="2:8" x14ac:dyDescent="0.25">
      <c r="B83">
        <v>79</v>
      </c>
      <c r="C83" t="s">
        <v>155</v>
      </c>
      <c r="D83" t="str">
        <f t="shared" si="3"/>
        <v>c79-c5-xlarge</v>
      </c>
      <c r="E83" t="s">
        <v>61</v>
      </c>
      <c r="F83" t="s">
        <v>265</v>
      </c>
      <c r="H83" t="s">
        <v>238</v>
      </c>
    </row>
    <row r="84" spans="2:8" x14ac:dyDescent="0.25">
      <c r="B84">
        <v>80</v>
      </c>
      <c r="C84" t="s">
        <v>156</v>
      </c>
      <c r="D84" t="str">
        <f t="shared" si="3"/>
        <v>c80-c5-2xlarge</v>
      </c>
      <c r="E84" t="s">
        <v>62</v>
      </c>
      <c r="F84" t="s">
        <v>265</v>
      </c>
      <c r="H84" t="s">
        <v>239</v>
      </c>
    </row>
    <row r="86" spans="2:8" x14ac:dyDescent="0.25">
      <c r="B86">
        <v>81</v>
      </c>
      <c r="C86" t="s">
        <v>157</v>
      </c>
      <c r="D86" t="str">
        <f t="shared" ref="D86:D105" si="4">"c"&amp;B86&amp;"-"&amp;C86</f>
        <v>c81-c5-4xlarge</v>
      </c>
      <c r="E86" t="s">
        <v>68</v>
      </c>
      <c r="F86" t="s">
        <v>265</v>
      </c>
      <c r="H86" t="s">
        <v>240</v>
      </c>
    </row>
    <row r="87" spans="2:8" x14ac:dyDescent="0.25">
      <c r="B87">
        <v>82</v>
      </c>
      <c r="C87" t="s">
        <v>8</v>
      </c>
      <c r="D87" t="str">
        <f t="shared" si="4"/>
        <v>c82-t2-small</v>
      </c>
      <c r="E87" t="s">
        <v>69</v>
      </c>
      <c r="F87" t="s">
        <v>266</v>
      </c>
      <c r="H87" t="s">
        <v>241</v>
      </c>
    </row>
    <row r="88" spans="2:8" x14ac:dyDescent="0.25">
      <c r="B88">
        <v>83</v>
      </c>
      <c r="C88" t="s">
        <v>8</v>
      </c>
      <c r="D88" t="str">
        <f t="shared" si="4"/>
        <v>c83-t2-small</v>
      </c>
      <c r="E88" t="s">
        <v>70</v>
      </c>
      <c r="F88" t="s">
        <v>266</v>
      </c>
      <c r="H88" t="s">
        <v>242</v>
      </c>
    </row>
    <row r="89" spans="2:8" x14ac:dyDescent="0.25">
      <c r="B89">
        <v>84</v>
      </c>
      <c r="C89" t="s">
        <v>8</v>
      </c>
      <c r="D89" t="str">
        <f t="shared" si="4"/>
        <v>c84-t2-small</v>
      </c>
      <c r="E89" t="s">
        <v>71</v>
      </c>
      <c r="F89" t="s">
        <v>266</v>
      </c>
      <c r="H89" t="s">
        <v>243</v>
      </c>
    </row>
    <row r="90" spans="2:8" x14ac:dyDescent="0.25">
      <c r="B90">
        <v>85</v>
      </c>
      <c r="C90" t="s">
        <v>9</v>
      </c>
      <c r="D90" t="str">
        <f t="shared" si="4"/>
        <v>c85-t2-medium</v>
      </c>
      <c r="E90" t="s">
        <v>72</v>
      </c>
      <c r="F90" t="s">
        <v>266</v>
      </c>
      <c r="H90" t="s">
        <v>244</v>
      </c>
    </row>
    <row r="91" spans="2:8" x14ac:dyDescent="0.25">
      <c r="B91">
        <v>86</v>
      </c>
      <c r="C91" t="s">
        <v>9</v>
      </c>
      <c r="D91" t="str">
        <f t="shared" si="4"/>
        <v>c86-t2-medium</v>
      </c>
      <c r="E91" t="s">
        <v>73</v>
      </c>
      <c r="F91" t="s">
        <v>266</v>
      </c>
      <c r="H91" t="s">
        <v>245</v>
      </c>
    </row>
    <row r="92" spans="2:8" x14ac:dyDescent="0.25">
      <c r="B92">
        <v>87</v>
      </c>
      <c r="C92" t="s">
        <v>9</v>
      </c>
      <c r="D92" t="str">
        <f t="shared" si="4"/>
        <v>c87-t2-medium</v>
      </c>
      <c r="E92" t="s">
        <v>74</v>
      </c>
      <c r="F92" t="s">
        <v>266</v>
      </c>
      <c r="H92" t="s">
        <v>246</v>
      </c>
    </row>
    <row r="93" spans="2:8" x14ac:dyDescent="0.25">
      <c r="B93">
        <v>88</v>
      </c>
      <c r="C93" t="s">
        <v>155</v>
      </c>
      <c r="D93" t="str">
        <f t="shared" si="4"/>
        <v>c88-c5-xlarge</v>
      </c>
      <c r="E93" t="s">
        <v>75</v>
      </c>
      <c r="F93" t="s">
        <v>266</v>
      </c>
      <c r="H93" t="s">
        <v>247</v>
      </c>
    </row>
    <row r="94" spans="2:8" x14ac:dyDescent="0.25">
      <c r="B94">
        <v>89</v>
      </c>
      <c r="C94" t="s">
        <v>155</v>
      </c>
      <c r="D94" t="str">
        <f t="shared" si="4"/>
        <v>c89-c5-xlarge</v>
      </c>
      <c r="E94" t="s">
        <v>76</v>
      </c>
      <c r="F94" t="s">
        <v>266</v>
      </c>
      <c r="H94" t="s">
        <v>248</v>
      </c>
    </row>
    <row r="95" spans="2:8" x14ac:dyDescent="0.25">
      <c r="B95">
        <v>90</v>
      </c>
      <c r="C95" t="s">
        <v>156</v>
      </c>
      <c r="D95" t="str">
        <f t="shared" si="4"/>
        <v>c90-c5-2xlarge</v>
      </c>
      <c r="E95" t="s">
        <v>77</v>
      </c>
      <c r="F95" t="s">
        <v>266</v>
      </c>
      <c r="H95" t="s">
        <v>249</v>
      </c>
    </row>
    <row r="96" spans="2:8" x14ac:dyDescent="0.25">
      <c r="B96">
        <v>91</v>
      </c>
      <c r="C96" t="s">
        <v>157</v>
      </c>
      <c r="D96" t="str">
        <f t="shared" si="4"/>
        <v>c91-c5-4xlarge</v>
      </c>
      <c r="E96" t="s">
        <v>78</v>
      </c>
      <c r="F96" t="s">
        <v>266</v>
      </c>
      <c r="H96" t="s">
        <v>250</v>
      </c>
    </row>
    <row r="97" spans="2:8" x14ac:dyDescent="0.25">
      <c r="B97">
        <v>92</v>
      </c>
      <c r="C97" t="s">
        <v>8</v>
      </c>
      <c r="D97" t="str">
        <f t="shared" si="4"/>
        <v>c92-t2-small</v>
      </c>
      <c r="E97" t="s">
        <v>89</v>
      </c>
      <c r="F97" t="s">
        <v>267</v>
      </c>
      <c r="H97" t="s">
        <v>251</v>
      </c>
    </row>
    <row r="98" spans="2:8" x14ac:dyDescent="0.25">
      <c r="B98">
        <v>93</v>
      </c>
      <c r="C98" t="s">
        <v>8</v>
      </c>
      <c r="D98" t="str">
        <f t="shared" si="4"/>
        <v>c93-t2-small</v>
      </c>
      <c r="E98" t="s">
        <v>79</v>
      </c>
      <c r="F98" t="s">
        <v>267</v>
      </c>
      <c r="H98" t="s">
        <v>252</v>
      </c>
    </row>
    <row r="99" spans="2:8" x14ac:dyDescent="0.25">
      <c r="B99">
        <v>94</v>
      </c>
      <c r="C99" t="s">
        <v>8</v>
      </c>
      <c r="D99" t="str">
        <f t="shared" si="4"/>
        <v>c94-t2-small</v>
      </c>
      <c r="E99" t="s">
        <v>80</v>
      </c>
      <c r="F99" t="s">
        <v>267</v>
      </c>
      <c r="H99" t="s">
        <v>253</v>
      </c>
    </row>
    <row r="100" spans="2:8" x14ac:dyDescent="0.25">
      <c r="B100">
        <v>95</v>
      </c>
      <c r="C100" t="s">
        <v>9</v>
      </c>
      <c r="D100" t="str">
        <f t="shared" si="4"/>
        <v>c95-t2-medium</v>
      </c>
      <c r="E100" t="s">
        <v>81</v>
      </c>
      <c r="F100" t="s">
        <v>267</v>
      </c>
      <c r="H100" t="s">
        <v>254</v>
      </c>
    </row>
    <row r="101" spans="2:8" x14ac:dyDescent="0.25">
      <c r="B101">
        <v>96</v>
      </c>
      <c r="C101" t="s">
        <v>9</v>
      </c>
      <c r="D101" t="str">
        <f t="shared" si="4"/>
        <v>c96-t2-medium</v>
      </c>
      <c r="E101" t="s">
        <v>82</v>
      </c>
      <c r="F101" t="s">
        <v>267</v>
      </c>
      <c r="H101" t="s">
        <v>255</v>
      </c>
    </row>
    <row r="102" spans="2:8" x14ac:dyDescent="0.25">
      <c r="B102">
        <v>97</v>
      </c>
      <c r="C102" t="s">
        <v>9</v>
      </c>
      <c r="D102" t="str">
        <f t="shared" si="4"/>
        <v>c97-t2-medium</v>
      </c>
      <c r="E102" t="s">
        <v>83</v>
      </c>
      <c r="F102" t="s">
        <v>267</v>
      </c>
      <c r="H102" t="s">
        <v>256</v>
      </c>
    </row>
    <row r="103" spans="2:8" x14ac:dyDescent="0.25">
      <c r="B103">
        <v>98</v>
      </c>
      <c r="C103" t="s">
        <v>155</v>
      </c>
      <c r="D103" t="str">
        <f t="shared" si="4"/>
        <v>c98-c5-xlarge</v>
      </c>
      <c r="E103" t="s">
        <v>84</v>
      </c>
      <c r="F103" t="s">
        <v>267</v>
      </c>
      <c r="H103" t="s">
        <v>257</v>
      </c>
    </row>
    <row r="104" spans="2:8" x14ac:dyDescent="0.25">
      <c r="B104">
        <v>99</v>
      </c>
      <c r="C104" t="s">
        <v>155</v>
      </c>
      <c r="D104" t="str">
        <f t="shared" si="4"/>
        <v>c99-c5-xlarge</v>
      </c>
      <c r="E104" t="s">
        <v>85</v>
      </c>
      <c r="F104" t="s">
        <v>267</v>
      </c>
      <c r="H104" t="s">
        <v>258</v>
      </c>
    </row>
    <row r="105" spans="2:8" x14ac:dyDescent="0.25">
      <c r="B105">
        <v>100</v>
      </c>
      <c r="C105" t="s">
        <v>156</v>
      </c>
      <c r="D105" t="str">
        <f t="shared" si="4"/>
        <v>c100-c5-2xlarge</v>
      </c>
      <c r="E105" t="s">
        <v>86</v>
      </c>
      <c r="F105" t="s">
        <v>267</v>
      </c>
      <c r="H105" t="s">
        <v>259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31D0-3A37-437F-A19E-D0C77C1541A8}">
  <dimension ref="B3:B102"/>
  <sheetViews>
    <sheetView tabSelected="1" topLeftCell="A85" workbookViewId="0">
      <selection activeCell="B3" sqref="B3:B102"/>
    </sheetView>
  </sheetViews>
  <sheetFormatPr defaultRowHeight="15" x14ac:dyDescent="0.25"/>
  <sheetData>
    <row r="3" spans="2:2" x14ac:dyDescent="0.25">
      <c r="B3" t="str">
        <f>info!D2&amp;","&amp;info!E2&amp;",59001"</f>
        <v>c01-c5-4xlarge,172.31.16.10,59001</v>
      </c>
    </row>
    <row r="4" spans="2:2" x14ac:dyDescent="0.25">
      <c r="B4" t="str">
        <f>info!D3&amp;","&amp;info!E3&amp;",59001"</f>
        <v>c02-t2-small,172.31.27.28,59001</v>
      </c>
    </row>
    <row r="5" spans="2:2" x14ac:dyDescent="0.25">
      <c r="B5" t="str">
        <f>info!D4&amp;","&amp;info!E4&amp;",59001"</f>
        <v>c03-t2-small,172.31.24.48,59001</v>
      </c>
    </row>
    <row r="6" spans="2:2" x14ac:dyDescent="0.25">
      <c r="B6" t="str">
        <f>info!D5&amp;","&amp;info!E5&amp;",59001"</f>
        <v>c04-t2-small,172.31.19.20,59001</v>
      </c>
    </row>
    <row r="7" spans="2:2" x14ac:dyDescent="0.25">
      <c r="B7" t="str">
        <f>info!D6&amp;","&amp;info!E6&amp;",59001"</f>
        <v>c05-t2-medium,172.31.21.44,59001</v>
      </c>
    </row>
    <row r="8" spans="2:2" x14ac:dyDescent="0.25">
      <c r="B8" t="str">
        <f>info!D7&amp;","&amp;info!E7&amp;",59001"</f>
        <v>c06-t2-medium,172.31.42.48,59001</v>
      </c>
    </row>
    <row r="9" spans="2:2" x14ac:dyDescent="0.25">
      <c r="B9" t="str">
        <f>info!D8&amp;","&amp;info!E8&amp;",59001"</f>
        <v>c07-t2-medium,172.31.6.148,59001</v>
      </c>
    </row>
    <row r="10" spans="2:2" x14ac:dyDescent="0.25">
      <c r="B10" t="str">
        <f>info!D9&amp;","&amp;info!E9&amp;",59001"</f>
        <v>c08-c5-xlarge,172.31.21.20,59001</v>
      </c>
    </row>
    <row r="11" spans="2:2" x14ac:dyDescent="0.25">
      <c r="B11" t="str">
        <f>info!D10&amp;","&amp;info!E10&amp;",59001"</f>
        <v>c09-c5-xlarge,172.31.29.51,59001</v>
      </c>
    </row>
    <row r="12" spans="2:2" x14ac:dyDescent="0.25">
      <c r="B12" t="str">
        <f>info!D11&amp;","&amp;info!E11&amp;",59001"</f>
        <v>c10-c5-2xlarge,172.31.27.113,59001</v>
      </c>
    </row>
    <row r="13" spans="2:2" x14ac:dyDescent="0.25">
      <c r="B13" t="str">
        <f>info!D12&amp;","&amp;info!E12&amp;",59001"</f>
        <v>c11-c5-4xlarge,172.31.31.235,59001</v>
      </c>
    </row>
    <row r="14" spans="2:2" x14ac:dyDescent="0.25">
      <c r="B14" t="str">
        <f>info!D13&amp;","&amp;info!E13&amp;",59001"</f>
        <v>c12-t2-small,172.31.23.24,59001</v>
      </c>
    </row>
    <row r="15" spans="2:2" x14ac:dyDescent="0.25">
      <c r="B15" t="str">
        <f>info!D14&amp;","&amp;info!E14&amp;",59001"</f>
        <v>c13-t2-small,172.31.28.220,59001</v>
      </c>
    </row>
    <row r="16" spans="2:2" x14ac:dyDescent="0.25">
      <c r="B16" t="str">
        <f>info!D15&amp;","&amp;info!E15&amp;",59001"</f>
        <v>c14-t2-small,172.31.28.38,59001</v>
      </c>
    </row>
    <row r="17" spans="2:2" x14ac:dyDescent="0.25">
      <c r="B17" t="str">
        <f>info!D16&amp;","&amp;info!E16&amp;",59001"</f>
        <v>c15-t2-medium,172.31.31.7,59001</v>
      </c>
    </row>
    <row r="18" spans="2:2" x14ac:dyDescent="0.25">
      <c r="B18" t="str">
        <f>info!D17&amp;","&amp;info!E17&amp;",59001"</f>
        <v>c16-t2-medium,172.31.19.38,59001</v>
      </c>
    </row>
    <row r="19" spans="2:2" x14ac:dyDescent="0.25">
      <c r="B19" t="str">
        <f>info!D18&amp;","&amp;info!E18&amp;",59001"</f>
        <v>c17-t2-medium,172.31.19.160,59001</v>
      </c>
    </row>
    <row r="20" spans="2:2" x14ac:dyDescent="0.25">
      <c r="B20" t="str">
        <f>info!D19&amp;","&amp;info!E19&amp;",59001"</f>
        <v>c18-c5-xlarge,172.31.16.91,59001</v>
      </c>
    </row>
    <row r="21" spans="2:2" x14ac:dyDescent="0.25">
      <c r="B21" t="str">
        <f>info!D20&amp;","&amp;info!E20&amp;",59001"</f>
        <v>c19-c5-xlarge,172.31.22.207,59001</v>
      </c>
    </row>
    <row r="22" spans="2:2" x14ac:dyDescent="0.25">
      <c r="B22" t="str">
        <f>info!D21&amp;","&amp;info!E21&amp;",59001"</f>
        <v>c20-c5-2xlarge,172.31.25.39,59001</v>
      </c>
    </row>
    <row r="23" spans="2:2" x14ac:dyDescent="0.25">
      <c r="B23" t="str">
        <f>info!D23&amp;","&amp;info!E23&amp;",59001"</f>
        <v>c21-c5-4xlarge,172.31.18.213,59001</v>
      </c>
    </row>
    <row r="24" spans="2:2" x14ac:dyDescent="0.25">
      <c r="B24" t="str">
        <f>info!D24&amp;","&amp;info!E24&amp;",59001"</f>
        <v>c22-t2-small,172.31.23.72,59001</v>
      </c>
    </row>
    <row r="25" spans="2:2" x14ac:dyDescent="0.25">
      <c r="B25" t="str">
        <f>info!D25&amp;","&amp;info!E25&amp;",59001"</f>
        <v>c23-t2-small,172.31.31.24,59001</v>
      </c>
    </row>
    <row r="26" spans="2:2" x14ac:dyDescent="0.25">
      <c r="B26" t="str">
        <f>info!D26&amp;","&amp;info!E26&amp;",59001"</f>
        <v>c24-t2-small,172.31.27.58,59001</v>
      </c>
    </row>
    <row r="27" spans="2:2" x14ac:dyDescent="0.25">
      <c r="B27" t="str">
        <f>info!D27&amp;","&amp;info!E27&amp;",59001"</f>
        <v>c25-t2-medium,172.31.17.169,59001</v>
      </c>
    </row>
    <row r="28" spans="2:2" x14ac:dyDescent="0.25">
      <c r="B28" t="str">
        <f>info!D28&amp;","&amp;info!E28&amp;",59001"</f>
        <v>c26-t2-medium,172.31.28.12,59001</v>
      </c>
    </row>
    <row r="29" spans="2:2" x14ac:dyDescent="0.25">
      <c r="B29" t="str">
        <f>info!D29&amp;","&amp;info!E29&amp;",59001"</f>
        <v>c27-t2-medium,172.31.20.85,59001</v>
      </c>
    </row>
    <row r="30" spans="2:2" x14ac:dyDescent="0.25">
      <c r="B30" t="str">
        <f>info!D30&amp;","&amp;info!E30&amp;",59001"</f>
        <v>c28-c5-xlarge,172.31.24.7,59001</v>
      </c>
    </row>
    <row r="31" spans="2:2" x14ac:dyDescent="0.25">
      <c r="B31" t="str">
        <f>info!D31&amp;","&amp;info!E31&amp;",59001"</f>
        <v>c29-c5-xlarge,172.31.29.177,59001</v>
      </c>
    </row>
    <row r="32" spans="2:2" x14ac:dyDescent="0.25">
      <c r="B32" t="str">
        <f>info!D32&amp;","&amp;info!E32&amp;",59001"</f>
        <v>c30-c5-2xlarge,172.31.18.111,59001</v>
      </c>
    </row>
    <row r="33" spans="2:2" x14ac:dyDescent="0.25">
      <c r="B33" t="str">
        <f>info!D33&amp;","&amp;info!E33&amp;",59001"</f>
        <v>c31-c5-4xlarge,172.31.18.88,59001</v>
      </c>
    </row>
    <row r="34" spans="2:2" x14ac:dyDescent="0.25">
      <c r="B34" t="str">
        <f>info!D34&amp;","&amp;info!E34&amp;",59001"</f>
        <v>c32-t2-small,172.31.27.94,59001</v>
      </c>
    </row>
    <row r="35" spans="2:2" x14ac:dyDescent="0.25">
      <c r="B35" t="str">
        <f>info!D35&amp;","&amp;info!E35&amp;",59001"</f>
        <v>c33-t2-small,172.31.28.207,59001</v>
      </c>
    </row>
    <row r="36" spans="2:2" x14ac:dyDescent="0.25">
      <c r="B36" t="str">
        <f>info!D36&amp;","&amp;info!E36&amp;",59001"</f>
        <v>c34-t2-small,172.31.28.32,59001</v>
      </c>
    </row>
    <row r="37" spans="2:2" x14ac:dyDescent="0.25">
      <c r="B37" t="str">
        <f>info!D37&amp;","&amp;info!E37&amp;",59001"</f>
        <v>c35-t2-medium,172.31.22.108,59001</v>
      </c>
    </row>
    <row r="38" spans="2:2" x14ac:dyDescent="0.25">
      <c r="B38" t="str">
        <f>info!D38&amp;","&amp;info!E38&amp;",59001"</f>
        <v>c36-t2-medium,172.31.19.189,59001</v>
      </c>
    </row>
    <row r="39" spans="2:2" x14ac:dyDescent="0.25">
      <c r="B39" t="str">
        <f>info!D39&amp;","&amp;info!E39&amp;",59001"</f>
        <v>c37-t2-medium,172.31.16.175,59001</v>
      </c>
    </row>
    <row r="40" spans="2:2" x14ac:dyDescent="0.25">
      <c r="B40" t="str">
        <f>info!D40&amp;","&amp;info!E40&amp;",59001"</f>
        <v>c38-c5-xlarge,172.31.26.82,59001</v>
      </c>
    </row>
    <row r="41" spans="2:2" x14ac:dyDescent="0.25">
      <c r="B41" t="str">
        <f>info!D41&amp;","&amp;info!E41&amp;",59001"</f>
        <v>c39-c5-xlarge,172.31.29.98,59001</v>
      </c>
    </row>
    <row r="42" spans="2:2" x14ac:dyDescent="0.25">
      <c r="B42" t="str">
        <f>info!D42&amp;","&amp;info!E42&amp;",59001"</f>
        <v>c40-c5-2xlarge,172.31.23.103,59001</v>
      </c>
    </row>
    <row r="43" spans="2:2" x14ac:dyDescent="0.25">
      <c r="B43" t="str">
        <f>info!D44&amp;","&amp;info!E44&amp;",59001"</f>
        <v>c41-c5-4xlarge,172.31.29.34,59001</v>
      </c>
    </row>
    <row r="44" spans="2:2" x14ac:dyDescent="0.25">
      <c r="B44" t="str">
        <f>info!D45&amp;","&amp;info!E45&amp;",59001"</f>
        <v>c42-t2-small,172.31.31.208,59001</v>
      </c>
    </row>
    <row r="45" spans="2:2" x14ac:dyDescent="0.25">
      <c r="B45" t="str">
        <f>info!D46&amp;","&amp;info!E46&amp;",59001"</f>
        <v>c43-t2-small,172.31.19.51,59001</v>
      </c>
    </row>
    <row r="46" spans="2:2" x14ac:dyDescent="0.25">
      <c r="B46" t="str">
        <f>info!D47&amp;","&amp;info!E47&amp;",59001"</f>
        <v>c44-t2-small,172.31.31.54,59001</v>
      </c>
    </row>
    <row r="47" spans="2:2" x14ac:dyDescent="0.25">
      <c r="B47" t="str">
        <f>info!D48&amp;","&amp;info!E48&amp;",59001"</f>
        <v>c45-t2-medium,172.31.26.164,59001</v>
      </c>
    </row>
    <row r="48" spans="2:2" x14ac:dyDescent="0.25">
      <c r="B48" t="str">
        <f>info!D49&amp;","&amp;info!E49&amp;",59001"</f>
        <v>c46-t2-medium,172.31.25.233,59001</v>
      </c>
    </row>
    <row r="49" spans="2:2" x14ac:dyDescent="0.25">
      <c r="B49" t="str">
        <f>info!D50&amp;","&amp;info!E50&amp;",59001"</f>
        <v>c47-t2-medium,172.31.22.203,59001</v>
      </c>
    </row>
    <row r="50" spans="2:2" x14ac:dyDescent="0.25">
      <c r="B50" t="str">
        <f>info!D51&amp;","&amp;info!E51&amp;",59001"</f>
        <v>c48-c5-xlarge,172.31.19.225,59001</v>
      </c>
    </row>
    <row r="51" spans="2:2" x14ac:dyDescent="0.25">
      <c r="B51" t="str">
        <f>info!D52&amp;","&amp;info!E52&amp;",59001"</f>
        <v>c49-c5-xlarge,172.31.26.244,59001</v>
      </c>
    </row>
    <row r="52" spans="2:2" x14ac:dyDescent="0.25">
      <c r="B52" t="str">
        <f>info!D53&amp;","&amp;info!E53&amp;",59001"</f>
        <v>c50-c5-2xlarge,172.31.30.61,59001</v>
      </c>
    </row>
    <row r="53" spans="2:2" x14ac:dyDescent="0.25">
      <c r="B53" t="str">
        <f>info!D54&amp;","&amp;info!E54&amp;",59001"</f>
        <v>c51-c5-4xlarge,172.31.29.11,59001</v>
      </c>
    </row>
    <row r="54" spans="2:2" x14ac:dyDescent="0.25">
      <c r="B54" t="str">
        <f>info!D55&amp;","&amp;info!E55&amp;",59001"</f>
        <v>c52-t2-small,172.31.17.199,59001</v>
      </c>
    </row>
    <row r="55" spans="2:2" x14ac:dyDescent="0.25">
      <c r="B55" t="str">
        <f>info!D56&amp;","&amp;info!E56&amp;",59001"</f>
        <v>c53-t2-small,172.31.26.151,59001</v>
      </c>
    </row>
    <row r="56" spans="2:2" x14ac:dyDescent="0.25">
      <c r="B56" t="str">
        <f>info!D57&amp;","&amp;info!E57&amp;",59001"</f>
        <v>c54-t2-small,172.31.25.77,59001</v>
      </c>
    </row>
    <row r="57" spans="2:2" x14ac:dyDescent="0.25">
      <c r="B57" t="str">
        <f>info!D58&amp;","&amp;info!E58&amp;",59001"</f>
        <v>c55-t2-medium,172.31.27.166,59001</v>
      </c>
    </row>
    <row r="58" spans="2:2" x14ac:dyDescent="0.25">
      <c r="B58" t="str">
        <f>info!D59&amp;","&amp;info!E59&amp;",59001"</f>
        <v>c56-t2-medium,172.31.17.98,59001</v>
      </c>
    </row>
    <row r="59" spans="2:2" x14ac:dyDescent="0.25">
      <c r="B59" t="str">
        <f>info!D60&amp;","&amp;info!E60&amp;",59001"</f>
        <v>c57-t2-medium,172.31.27.25,59001</v>
      </c>
    </row>
    <row r="60" spans="2:2" x14ac:dyDescent="0.25">
      <c r="B60" t="str">
        <f>info!D61&amp;","&amp;info!E61&amp;",59001"</f>
        <v>c58-c5-xlarge,172.31.24.96,59001</v>
      </c>
    </row>
    <row r="61" spans="2:2" x14ac:dyDescent="0.25">
      <c r="B61" t="str">
        <f>info!D62&amp;","&amp;info!E62&amp;",59001"</f>
        <v>c59-c5-xlarge,172.31.22.197,59001</v>
      </c>
    </row>
    <row r="62" spans="2:2" x14ac:dyDescent="0.25">
      <c r="B62" t="str">
        <f>info!D63&amp;","&amp;info!E63&amp;",59001"</f>
        <v>c60-c5-2xlarge,172.31.20.108,59001</v>
      </c>
    </row>
    <row r="63" spans="2:2" x14ac:dyDescent="0.25">
      <c r="B63" t="str">
        <f>info!D65&amp;","&amp;info!E65&amp;",59001"</f>
        <v>c61-c5-4xlarge,172.31.27.188,59001</v>
      </c>
    </row>
    <row r="64" spans="2:2" x14ac:dyDescent="0.25">
      <c r="B64" t="str">
        <f>info!D66&amp;","&amp;info!E66&amp;",59001"</f>
        <v>c62-t2-small,172.31.26.227,59001</v>
      </c>
    </row>
    <row r="65" spans="2:2" x14ac:dyDescent="0.25">
      <c r="B65" t="str">
        <f>info!D67&amp;","&amp;info!E67&amp;",59001"</f>
        <v>c63-t2-small,172.31.19.74,59001</v>
      </c>
    </row>
    <row r="66" spans="2:2" x14ac:dyDescent="0.25">
      <c r="B66" t="str">
        <f>info!D68&amp;","&amp;info!E68&amp;",59001"</f>
        <v>c64-t2-small,172.31.18.89,59001</v>
      </c>
    </row>
    <row r="67" spans="2:2" x14ac:dyDescent="0.25">
      <c r="B67" t="str">
        <f>info!D69&amp;","&amp;info!E69&amp;",59001"</f>
        <v>c65-t2-medium,172.31.22.198,59001</v>
      </c>
    </row>
    <row r="68" spans="2:2" x14ac:dyDescent="0.25">
      <c r="B68" t="str">
        <f>info!D70&amp;","&amp;info!E70&amp;",59001"</f>
        <v>c66-t2-medium,172.31.20.6,59001</v>
      </c>
    </row>
    <row r="69" spans="2:2" x14ac:dyDescent="0.25">
      <c r="B69" t="str">
        <f>info!D71&amp;","&amp;info!E71&amp;",59001"</f>
        <v>c67-t2-medium,172.31.24.234,59001</v>
      </c>
    </row>
    <row r="70" spans="2:2" x14ac:dyDescent="0.25">
      <c r="B70" t="str">
        <f>info!D72&amp;","&amp;info!E72&amp;",59001"</f>
        <v>c68-c5-xlarge,172.31.16.123,59001</v>
      </c>
    </row>
    <row r="71" spans="2:2" x14ac:dyDescent="0.25">
      <c r="B71" t="str">
        <f>info!D73&amp;","&amp;info!E73&amp;",59001"</f>
        <v>c69-c5-xlarge,172.31.22.139,59001</v>
      </c>
    </row>
    <row r="72" spans="2:2" x14ac:dyDescent="0.25">
      <c r="B72" t="str">
        <f>info!D74&amp;","&amp;info!E74&amp;",59001"</f>
        <v>c70-c5-2xlarge,172.31.29.152,59001</v>
      </c>
    </row>
    <row r="73" spans="2:2" x14ac:dyDescent="0.25">
      <c r="B73" t="str">
        <f>info!D75&amp;","&amp;info!E75&amp;",59001"</f>
        <v>c71-c5-4xlarge,172.31.28.114,59001</v>
      </c>
    </row>
    <row r="74" spans="2:2" x14ac:dyDescent="0.25">
      <c r="B74" t="str">
        <f>info!D76&amp;","&amp;info!E76&amp;",59001"</f>
        <v>c72-t2-small,172.31.26.46,59001</v>
      </c>
    </row>
    <row r="75" spans="2:2" x14ac:dyDescent="0.25">
      <c r="B75" t="str">
        <f>info!D77&amp;","&amp;info!E77&amp;",59001"</f>
        <v>c73-t2-small,172.31.17.17,59001</v>
      </c>
    </row>
    <row r="76" spans="2:2" x14ac:dyDescent="0.25">
      <c r="B76" t="str">
        <f>info!D78&amp;","&amp;info!E78&amp;",59001"</f>
        <v>c74-t2-small,172.31.24.201,59001</v>
      </c>
    </row>
    <row r="77" spans="2:2" x14ac:dyDescent="0.25">
      <c r="B77" t="str">
        <f>info!D79&amp;","&amp;info!E79&amp;",59001"</f>
        <v>c75-t2-medium,172.31.19.18,59001</v>
      </c>
    </row>
    <row r="78" spans="2:2" x14ac:dyDescent="0.25">
      <c r="B78" t="str">
        <f>info!D80&amp;","&amp;info!E80&amp;",59001"</f>
        <v>c76-t2-medium,172.31.21.225,59001</v>
      </c>
    </row>
    <row r="79" spans="2:2" x14ac:dyDescent="0.25">
      <c r="B79" t="str">
        <f>info!D81&amp;","&amp;info!E81&amp;",59001"</f>
        <v>c77-t2-medium,172.31.16.19,59001</v>
      </c>
    </row>
    <row r="80" spans="2:2" x14ac:dyDescent="0.25">
      <c r="B80" t="str">
        <f>info!D82&amp;","&amp;info!E82&amp;",59001"</f>
        <v>c78-c5-xlarge,172.31.18.160,59001</v>
      </c>
    </row>
    <row r="81" spans="2:2" x14ac:dyDescent="0.25">
      <c r="B81" t="str">
        <f>info!D83&amp;","&amp;info!E83&amp;",59001"</f>
        <v>c79-c5-xlarge,172.31.31.237,59001</v>
      </c>
    </row>
    <row r="82" spans="2:2" x14ac:dyDescent="0.25">
      <c r="B82" t="str">
        <f>info!D84&amp;","&amp;info!E84&amp;",59001"</f>
        <v>c80-c5-2xlarge,172.31.16.236,59001</v>
      </c>
    </row>
    <row r="83" spans="2:2" x14ac:dyDescent="0.25">
      <c r="B83" t="str">
        <f>info!D86&amp;","&amp;info!E86&amp;",59001"</f>
        <v>c81-c5-4xlarge,172.31.29.142,59001</v>
      </c>
    </row>
    <row r="84" spans="2:2" x14ac:dyDescent="0.25">
      <c r="B84" t="str">
        <f>info!D87&amp;","&amp;info!E87&amp;",59001"</f>
        <v>c82-t2-small,172.31.20.77,59001</v>
      </c>
    </row>
    <row r="85" spans="2:2" x14ac:dyDescent="0.25">
      <c r="B85" t="str">
        <f>info!D88&amp;","&amp;info!E88&amp;",59001"</f>
        <v>c83-t2-small,172.31.20.25,59001</v>
      </c>
    </row>
    <row r="86" spans="2:2" x14ac:dyDescent="0.25">
      <c r="B86" t="str">
        <f>info!D89&amp;","&amp;info!E89&amp;",59001"</f>
        <v>c84-t2-small,172.31.19.239,59001</v>
      </c>
    </row>
    <row r="87" spans="2:2" x14ac:dyDescent="0.25">
      <c r="B87" t="str">
        <f>info!D90&amp;","&amp;info!E90&amp;",59001"</f>
        <v>c85-t2-medium,172.31.23.251,59001</v>
      </c>
    </row>
    <row r="88" spans="2:2" x14ac:dyDescent="0.25">
      <c r="B88" t="str">
        <f>info!D91&amp;","&amp;info!E91&amp;",59001"</f>
        <v>c86-t2-medium,172.31.16.43,59001</v>
      </c>
    </row>
    <row r="89" spans="2:2" x14ac:dyDescent="0.25">
      <c r="B89" t="str">
        <f>info!D92&amp;","&amp;info!E92&amp;",59001"</f>
        <v>c87-t2-medium,172.31.21.110,59001</v>
      </c>
    </row>
    <row r="90" spans="2:2" x14ac:dyDescent="0.25">
      <c r="B90" t="str">
        <f>info!D93&amp;","&amp;info!E93&amp;",59001"</f>
        <v>c88-c5-xlarge,172.31.24.55,59001</v>
      </c>
    </row>
    <row r="91" spans="2:2" x14ac:dyDescent="0.25">
      <c r="B91" t="str">
        <f>info!D94&amp;","&amp;info!E94&amp;",59001"</f>
        <v>c89-c5-xlarge,172.31.31.148,59001</v>
      </c>
    </row>
    <row r="92" spans="2:2" x14ac:dyDescent="0.25">
      <c r="B92" t="str">
        <f>info!D95&amp;","&amp;info!E95&amp;",59001"</f>
        <v>c90-c5-2xlarge,172.31.25.125,59001</v>
      </c>
    </row>
    <row r="93" spans="2:2" x14ac:dyDescent="0.25">
      <c r="B93" t="str">
        <f>info!D96&amp;","&amp;info!E96&amp;",59001"</f>
        <v>c91-c5-4xlarge,172.31.22.253,59001</v>
      </c>
    </row>
    <row r="94" spans="2:2" x14ac:dyDescent="0.25">
      <c r="B94" t="str">
        <f>info!D97&amp;","&amp;info!E97&amp;",59001"</f>
        <v>c92-t2-small,172.31.20.255,59001</v>
      </c>
    </row>
    <row r="95" spans="2:2" x14ac:dyDescent="0.25">
      <c r="B95" t="str">
        <f>info!D98&amp;","&amp;info!E98&amp;",59001"</f>
        <v>c93-t2-small,172.31.18.234,59001</v>
      </c>
    </row>
    <row r="96" spans="2:2" x14ac:dyDescent="0.25">
      <c r="B96" t="str">
        <f>info!D99&amp;","&amp;info!E99&amp;",59001"</f>
        <v>c94-t2-small,172.31.29.186,59001</v>
      </c>
    </row>
    <row r="97" spans="2:2" x14ac:dyDescent="0.25">
      <c r="B97" t="str">
        <f>info!D100&amp;","&amp;info!E100&amp;",59001"</f>
        <v>c95-t2-medium,172.31.31.15,59001</v>
      </c>
    </row>
    <row r="98" spans="2:2" x14ac:dyDescent="0.25">
      <c r="B98" t="str">
        <f>info!D101&amp;","&amp;info!E101&amp;",59001"</f>
        <v>c96-t2-medium,172.31.25.144,59001</v>
      </c>
    </row>
    <row r="99" spans="2:2" x14ac:dyDescent="0.25">
      <c r="B99" t="str">
        <f>info!D102&amp;","&amp;info!E102&amp;",59001"</f>
        <v>c97-t2-medium,172.31.20.104,59001</v>
      </c>
    </row>
    <row r="100" spans="2:2" x14ac:dyDescent="0.25">
      <c r="B100" t="str">
        <f>info!D103&amp;","&amp;info!E103&amp;",59001"</f>
        <v>c98-c5-xlarge,172.31.25.100,59001</v>
      </c>
    </row>
    <row r="101" spans="2:2" x14ac:dyDescent="0.25">
      <c r="B101" t="str">
        <f>info!D104&amp;","&amp;info!E104&amp;",59001"</f>
        <v>c99-c5-xlarge,172.31.25.167,59001</v>
      </c>
    </row>
    <row r="102" spans="2:2" x14ac:dyDescent="0.25">
      <c r="B102" t="str">
        <f>info!D105&amp;","&amp;info!E105&amp;",59001"</f>
        <v>c100-c5-2xlarge,172.31.28.55,59001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3F9D-FF12-4160-B0A2-949827959B79}">
  <dimension ref="B2:C114"/>
  <sheetViews>
    <sheetView topLeftCell="A91" zoomScaleNormal="100" workbookViewId="0">
      <selection activeCell="B9" sqref="B9:B114"/>
    </sheetView>
  </sheetViews>
  <sheetFormatPr defaultRowHeight="15" x14ac:dyDescent="0.25"/>
  <sheetData>
    <row r="2" spans="2:3" x14ac:dyDescent="0.25">
      <c r="B2" t="s">
        <v>34</v>
      </c>
    </row>
    <row r="3" spans="2:3" x14ac:dyDescent="0.25">
      <c r="B3" t="s">
        <v>35</v>
      </c>
    </row>
    <row r="4" spans="2:3" x14ac:dyDescent="0.25">
      <c r="B4" t="s">
        <v>153</v>
      </c>
    </row>
    <row r="5" spans="2:3" x14ac:dyDescent="0.25">
      <c r="B5" t="s">
        <v>37</v>
      </c>
    </row>
    <row r="6" spans="2:3" x14ac:dyDescent="0.25">
      <c r="B6">
        <v>59001</v>
      </c>
    </row>
    <row r="7" spans="2:3" x14ac:dyDescent="0.25">
      <c r="B7">
        <v>0</v>
      </c>
      <c r="C7">
        <v>2</v>
      </c>
    </row>
    <row r="9" spans="2:3" x14ac:dyDescent="0.25">
      <c r="B9" t="str">
        <f>B$2&amp;info!E2&amp;" "&amp;CHAR(34)&amp;B$3&amp;CHAR(39)&amp;B$4&amp;" 2 1 "&amp;info!D2&amp;" "&amp;info!E2&amp;" "&amp;B$6&amp;" "&amp;B$7&amp;" "&amp;C$7&amp;" "&amp;info!F2&amp;B$5&amp;CHAR(39)&amp;CHAR(34)</f>
        <v>ssh -i p2pstorage.pem ec2-user@172.31.16.10 "sh -c 'cd node; nohup ./startServer.sh 2 1 c01-c5-4xlarge 172.31.16.10 59001 0 2 0 0 0 &gt; /dev/null 2&gt;&amp;1 &amp;'"</v>
      </c>
    </row>
    <row r="10" spans="2:3" x14ac:dyDescent="0.25">
      <c r="B10" s="3" t="s">
        <v>144</v>
      </c>
    </row>
    <row r="11" spans="2:3" x14ac:dyDescent="0.25">
      <c r="B11" t="str">
        <f>B$2&amp;info!E3&amp;" "&amp;CHAR(34)&amp;B$3&amp;CHAR(39)&amp;B$4&amp;" 2 2 "&amp;info!D3&amp;" "&amp;info!E3&amp;" "&amp;B$6&amp;" "&amp;B$7&amp;" "&amp;C$7&amp;" "&amp;info!F3&amp;B$5&amp;CHAR(39)&amp;CHAR(34)</f>
        <v>ssh -i p2pstorage.pem ec2-user@172.31.27.28 "sh -c 'cd node; nohup ./startServer.sh 2 2 c02-t2-small 172.31.27.28 59001 0 2 c01-c5-4xlarge 172.31.16.10 59001 &gt; /dev/null 2&gt;&amp;1 &amp;'"</v>
      </c>
    </row>
    <row r="12" spans="2:3" x14ac:dyDescent="0.25">
      <c r="B12" t="str">
        <f>B$2&amp;info!E4&amp;" "&amp;CHAR(34)&amp;B$3&amp;CHAR(39)&amp;B$4&amp;" 2 2 "&amp;info!D4&amp;" "&amp;info!E4&amp;" "&amp;B$6&amp;" "&amp;B$7&amp;" "&amp;C$7&amp;" "&amp;info!F4&amp;B$5&amp;CHAR(39)&amp;CHAR(34)</f>
        <v>ssh -i p2pstorage.pem ec2-user@172.31.24.48 "sh -c 'cd node; nohup ./startServer.sh 2 2 c03-t2-small 172.31.24.48 59001 0 2 c01-c5-4xlarge 172.31.16.10 59001 &gt; /dev/null 2&gt;&amp;1 &amp;'"</v>
      </c>
    </row>
    <row r="13" spans="2:3" x14ac:dyDescent="0.25">
      <c r="B13" t="str">
        <f>B$2&amp;info!E5&amp;" "&amp;CHAR(34)&amp;B$3&amp;CHAR(39)&amp;B$4&amp;" 2 2 "&amp;info!D5&amp;" "&amp;info!E5&amp;" "&amp;B$6&amp;" "&amp;B$7&amp;" "&amp;C$7&amp;" "&amp;info!F5&amp;B$5&amp;CHAR(39)&amp;CHAR(34)</f>
        <v>ssh -i p2pstorage.pem ec2-user@172.31.19.20 "sh -c 'cd node; nohup ./startServer.sh 2 2 c04-t2-small 172.31.19.20 59001 0 2 c01-c5-4xlarge 172.31.16.10 59001 &gt; /dev/null 2&gt;&amp;1 &amp;'"</v>
      </c>
    </row>
    <row r="14" spans="2:3" x14ac:dyDescent="0.25">
      <c r="B14" t="str">
        <f>B$2&amp;info!E6&amp;" "&amp;CHAR(34)&amp;B$3&amp;CHAR(39)&amp;B$4&amp;" 2 2 "&amp;info!D6&amp;" "&amp;info!E6&amp;" "&amp;B$6&amp;" "&amp;B$7&amp;" "&amp;C$7&amp;" "&amp;info!F6&amp;B$5&amp;CHAR(39)&amp;CHAR(34)</f>
        <v>ssh -i p2pstorage.pem ec2-user@172.31.21.44 "sh -c 'cd node; nohup ./startServer.sh 2 2 c05-t2-medium 172.31.21.44 59001 0 2 c01-c5-4xlarge 172.31.16.10 59001 &gt; /dev/null 2&gt;&amp;1 &amp;'"</v>
      </c>
    </row>
    <row r="15" spans="2:3" x14ac:dyDescent="0.25">
      <c r="B15" t="str">
        <f>B$2&amp;info!E7&amp;" "&amp;CHAR(34)&amp;B$3&amp;CHAR(39)&amp;B$4&amp;" 2 2 "&amp;info!D7&amp;" "&amp;info!E7&amp;" "&amp;B$6&amp;" "&amp;B$7&amp;" "&amp;C$7&amp;" "&amp;info!F7&amp;B$5&amp;CHAR(39)&amp;CHAR(34)</f>
        <v>ssh -i p2pstorage.pem ec2-user@172.31.42.48 "sh -c 'cd node; nohup ./startServer.sh 2 2 c06-t2-medium 172.31.42.48 59001 0 2 c01-c5-4xlarge 172.31.16.10 59001 &gt; /dev/null 2&gt;&amp;1 &amp;'"</v>
      </c>
    </row>
    <row r="16" spans="2:3" x14ac:dyDescent="0.25">
      <c r="B16" t="str">
        <f>B$2&amp;info!E8&amp;" "&amp;CHAR(34)&amp;B$3&amp;CHAR(39)&amp;B$4&amp;" 2 2 "&amp;info!D8&amp;" "&amp;info!E8&amp;" "&amp;B$6&amp;" "&amp;B$7&amp;" "&amp;C$7&amp;" "&amp;info!F8&amp;B$5&amp;CHAR(39)&amp;CHAR(34)</f>
        <v>ssh -i p2pstorage.pem ec2-user@172.31.6.148 "sh -c 'cd node; nohup ./startServer.sh 2 2 c07-t2-medium 172.31.6.148 59001 0 2 c01-c5-4xlarge 172.31.16.10 59001 &gt; /dev/null 2&gt;&amp;1 &amp;'"</v>
      </c>
    </row>
    <row r="17" spans="2:2" x14ac:dyDescent="0.25">
      <c r="B17" t="str">
        <f>B$2&amp;info!E9&amp;" "&amp;CHAR(34)&amp;B$3&amp;CHAR(39)&amp;B$4&amp;" 2 2 "&amp;info!D9&amp;" "&amp;info!E9&amp;" "&amp;B$6&amp;" "&amp;B$7&amp;" "&amp;C$7&amp;" "&amp;info!F9&amp;B$5&amp;CHAR(39)&amp;CHAR(34)</f>
        <v>ssh -i p2pstorage.pem ec2-user@172.31.21.20 "sh -c 'cd node; nohup ./startServer.sh 2 2 c08-c5-xlarge 172.31.21.20 59001 0 2 c01-c5-4xlarge 172.31.16.10 59001 &gt; /dev/null 2&gt;&amp;1 &amp;'"</v>
      </c>
    </row>
    <row r="18" spans="2:2" x14ac:dyDescent="0.25">
      <c r="B18" t="str">
        <f>B$2&amp;info!E10&amp;" "&amp;CHAR(34)&amp;B$3&amp;CHAR(39)&amp;B$4&amp;" 2 2 "&amp;info!D10&amp;" "&amp;info!E10&amp;" "&amp;B$6&amp;" "&amp;B$7&amp;" "&amp;C$7&amp;" "&amp;info!F10&amp;B$5&amp;CHAR(39)&amp;CHAR(34)</f>
        <v>ssh -i p2pstorage.pem ec2-user@172.31.29.51 "sh -c 'cd node; nohup ./startServer.sh 2 2 c09-c5-xlarge 172.31.29.51 59001 0 2 c01-c5-4xlarge 172.31.16.10 59001 &gt; /dev/null 2&gt;&amp;1 &amp;'"</v>
      </c>
    </row>
    <row r="19" spans="2:2" x14ac:dyDescent="0.25">
      <c r="B19" t="str">
        <f>B$2&amp;info!E11&amp;" "&amp;CHAR(34)&amp;B$3&amp;CHAR(39)&amp;B$4&amp;" 2 2 "&amp;info!D11&amp;" "&amp;info!E11&amp;" "&amp;B$6&amp;" "&amp;B$7&amp;" "&amp;C$7&amp;" "&amp;info!F11&amp;B$5&amp;CHAR(39)&amp;CHAR(34)</f>
        <v>ssh -i p2pstorage.pem ec2-user@172.31.27.113 "sh -c 'cd node; nohup ./startServer.sh 2 2 c10-c5-2xlarge 172.31.27.113 59001 0 2 c01-c5-4xlarge 172.31.16.10 59001 &gt; /dev/null 2&gt;&amp;1 &amp;'"</v>
      </c>
    </row>
    <row r="20" spans="2:2" x14ac:dyDescent="0.25">
      <c r="B20" t="str">
        <f>B$2&amp;info!E12&amp;" "&amp;CHAR(34)&amp;B$3&amp;CHAR(39)&amp;B$4&amp;" 2 2 "&amp;info!D12&amp;" "&amp;info!E12&amp;" "&amp;B$6&amp;" "&amp;B$7&amp;" "&amp;C$7&amp;" "&amp;info!F12&amp;B$5&amp;CHAR(39)&amp;CHAR(34)</f>
        <v>ssh -i p2pstorage.pem ec2-user@172.31.31.235 "sh -c 'cd node; nohup ./startServer.sh 2 2 c11-c5-4xlarge 172.31.31.235 59001 0 2 c01-c5-4xlarge 172.31.16.10 59001 &gt; /dev/null 2&gt;&amp;1 &amp;'"</v>
      </c>
    </row>
    <row r="21" spans="2:2" x14ac:dyDescent="0.25">
      <c r="B21" t="str">
        <f>B$2&amp;info!E13&amp;" "&amp;CHAR(34)&amp;B$3&amp;CHAR(39)&amp;B$4&amp;" 2 2 "&amp;info!D13&amp;" "&amp;info!E13&amp;" "&amp;B$6&amp;" "&amp;B$7&amp;" "&amp;C$7&amp;" "&amp;info!F13&amp;B$5&amp;CHAR(39)&amp;CHAR(34)</f>
        <v>ssh -i p2pstorage.pem ec2-user@172.31.23.24 "sh -c 'cd node; nohup ./startServer.sh 2 2 c12-t2-small 172.31.23.24 59001 0 2 c11-c5-4xlarge 172.31.21.44 59001 &gt; /dev/null 2&gt;&amp;1 &amp;'"</v>
      </c>
    </row>
    <row r="22" spans="2:2" x14ac:dyDescent="0.25">
      <c r="B22" t="str">
        <f>B$2&amp;info!E14&amp;" "&amp;CHAR(34)&amp;B$3&amp;CHAR(39)&amp;B$4&amp;" 2 2 "&amp;info!D14&amp;" "&amp;info!E14&amp;" "&amp;B$6&amp;" "&amp;B$7&amp;" "&amp;C$7&amp;" "&amp;info!F14&amp;B$5&amp;CHAR(39)&amp;CHAR(34)</f>
        <v>ssh -i p2pstorage.pem ec2-user@172.31.28.220 "sh -c 'cd node; nohup ./startServer.sh 2 2 c13-t2-small 172.31.28.220 59001 0 2 c11-c5-4xlarge 172.31.21.44 59001 &gt; /dev/null 2&gt;&amp;1 &amp;'"</v>
      </c>
    </row>
    <row r="23" spans="2:2" x14ac:dyDescent="0.25">
      <c r="B23" t="str">
        <f>B$2&amp;info!E15&amp;" "&amp;CHAR(34)&amp;B$3&amp;CHAR(39)&amp;B$4&amp;" 2 2 "&amp;info!D15&amp;" "&amp;info!E15&amp;" "&amp;B$6&amp;" "&amp;B$7&amp;" "&amp;C$7&amp;" "&amp;info!F15&amp;B$5&amp;CHAR(39)&amp;CHAR(34)</f>
        <v>ssh -i p2pstorage.pem ec2-user@172.31.28.38 "sh -c 'cd node; nohup ./startServer.sh 2 2 c14-t2-small 172.31.28.38 59001 0 2 c11-c5-4xlarge 172.31.21.44 59001 &gt; /dev/null 2&gt;&amp;1 &amp;'"</v>
      </c>
    </row>
    <row r="24" spans="2:2" x14ac:dyDescent="0.25">
      <c r="B24" t="str">
        <f>B$2&amp;info!E16&amp;" "&amp;CHAR(34)&amp;B$3&amp;CHAR(39)&amp;B$4&amp;" 2 2 "&amp;info!D16&amp;" "&amp;info!E16&amp;" "&amp;B$6&amp;" "&amp;B$7&amp;" "&amp;C$7&amp;" "&amp;info!F16&amp;B$5&amp;CHAR(39)&amp;CHAR(34)</f>
        <v>ssh -i p2pstorage.pem ec2-user@172.31.31.7 "sh -c 'cd node; nohup ./startServer.sh 2 2 c15-t2-medium 172.31.31.7 59001 0 2 c11-c5-4xlarge 172.31.21.44 59001 &gt; /dev/null 2&gt;&amp;1 &amp;'"</v>
      </c>
    </row>
    <row r="25" spans="2:2" x14ac:dyDescent="0.25">
      <c r="B25" t="str">
        <f>B$2&amp;info!E17&amp;" "&amp;CHAR(34)&amp;B$3&amp;CHAR(39)&amp;B$4&amp;" 2 2 "&amp;info!D17&amp;" "&amp;info!E17&amp;" "&amp;B$6&amp;" "&amp;B$7&amp;" "&amp;C$7&amp;" "&amp;info!F17&amp;B$5&amp;CHAR(39)&amp;CHAR(34)</f>
        <v>ssh -i p2pstorage.pem ec2-user@172.31.19.38 "sh -c 'cd node; nohup ./startServer.sh 2 2 c16-t2-medium 172.31.19.38 59001 0 2 c11-c5-4xlarge 172.31.21.44 59001 &gt; /dev/null 2&gt;&amp;1 &amp;'"</v>
      </c>
    </row>
    <row r="26" spans="2:2" x14ac:dyDescent="0.25">
      <c r="B26" t="str">
        <f>B$2&amp;info!E18&amp;" "&amp;CHAR(34)&amp;B$3&amp;CHAR(39)&amp;B$4&amp;" 2 2 "&amp;info!D18&amp;" "&amp;info!E18&amp;" "&amp;B$6&amp;" "&amp;B$7&amp;" "&amp;C$7&amp;" "&amp;info!F18&amp;B$5&amp;CHAR(39)&amp;CHAR(34)</f>
        <v>ssh -i p2pstorage.pem ec2-user@172.31.19.160 "sh -c 'cd node; nohup ./startServer.sh 2 2 c17-t2-medium 172.31.19.160 59001 0 2 c11-c5-4xlarge 172.31.21.44 59001 &gt; /dev/null 2&gt;&amp;1 &amp;'"</v>
      </c>
    </row>
    <row r="27" spans="2:2" x14ac:dyDescent="0.25">
      <c r="B27" t="str">
        <f>B$2&amp;info!E19&amp;" "&amp;CHAR(34)&amp;B$3&amp;CHAR(39)&amp;B$4&amp;" 2 2 "&amp;info!D19&amp;" "&amp;info!E19&amp;" "&amp;B$6&amp;" "&amp;B$7&amp;" "&amp;C$7&amp;" "&amp;info!F19&amp;B$5&amp;CHAR(39)&amp;CHAR(34)</f>
        <v>ssh -i p2pstorage.pem ec2-user@172.31.16.91 "sh -c 'cd node; nohup ./startServer.sh 2 2 c18-c5-xlarge 172.31.16.91 59001 0 2 c11-c5-4xlarge 172.31.21.44 59001 &gt; /dev/null 2&gt;&amp;1 &amp;'"</v>
      </c>
    </row>
    <row r="28" spans="2:2" x14ac:dyDescent="0.25">
      <c r="B28" t="str">
        <f>B$2&amp;info!E20&amp;" "&amp;CHAR(34)&amp;B$3&amp;CHAR(39)&amp;B$4&amp;" 2 2 "&amp;info!D20&amp;" "&amp;info!E20&amp;" "&amp;B$6&amp;" "&amp;B$7&amp;" "&amp;C$7&amp;" "&amp;info!F20&amp;B$5&amp;CHAR(39)&amp;CHAR(34)</f>
        <v>ssh -i p2pstorage.pem ec2-user@172.31.22.207 "sh -c 'cd node; nohup ./startServer.sh 2 2 c19-c5-xlarge 172.31.22.207 59001 0 2 c11-c5-4xlarge 172.31.21.44 59001 &gt; /dev/null 2&gt;&amp;1 &amp;'"</v>
      </c>
    </row>
    <row r="29" spans="2:2" x14ac:dyDescent="0.25">
      <c r="B29" t="str">
        <f>B$2&amp;info!E21&amp;" "&amp;CHAR(34)&amp;B$3&amp;CHAR(39)&amp;B$4&amp;" 2 2 "&amp;info!D21&amp;" "&amp;info!E21&amp;" "&amp;B$6&amp;" "&amp;B$7&amp;" "&amp;C$7&amp;" "&amp;info!F21&amp;B$5&amp;CHAR(39)&amp;CHAR(34)</f>
        <v>ssh -i p2pstorage.pem ec2-user@172.31.25.39 "sh -c 'cd node; nohup ./startServer.sh 2 2 c20-c5-2xlarge 172.31.25.39 59001 0 2 c11-c5-4xlarge 172.31.21.44 59001 &gt; /dev/null 2&gt;&amp;1 &amp;'"</v>
      </c>
    </row>
    <row r="30" spans="2:2" x14ac:dyDescent="0.25">
      <c r="B30" s="3" t="s">
        <v>145</v>
      </c>
    </row>
    <row r="31" spans="2:2" x14ac:dyDescent="0.25">
      <c r="B31" t="str">
        <f>B$2&amp;info!E23&amp;" "&amp;CHAR(34)&amp;B$3&amp;CHAR(39)&amp;B$4&amp;" 2 2 "&amp;info!D23&amp;" "&amp;info!E23&amp;" "&amp;B$6&amp;" "&amp;B$7&amp;" "&amp;C$7&amp;" "&amp;info!F23&amp;B$5&amp;CHAR(39)&amp;CHAR(34)</f>
        <v>ssh -i p2pstorage.pem ec2-user@172.31.18.213 "sh -c 'cd node; nohup ./startServer.sh 2 2 c21-c5-4xlarge 172.31.18.213 59001 0 2 c11-c5-4xlarge 172.31.21.44 59001 &gt; /dev/null 2&gt;&amp;1 &amp;'"</v>
      </c>
    </row>
    <row r="32" spans="2:2" x14ac:dyDescent="0.25">
      <c r="B32" t="str">
        <f>B$2&amp;info!E24&amp;" "&amp;CHAR(34)&amp;B$3&amp;CHAR(39)&amp;B$4&amp;" 2 2 "&amp;info!D24&amp;" "&amp;info!E24&amp;" "&amp;B$6&amp;" "&amp;B$7&amp;" "&amp;C$7&amp;" "&amp;info!F24&amp;B$5&amp;CHAR(39)&amp;CHAR(34)</f>
        <v>ssh -i p2pstorage.pem ec2-user@172.31.23.72 "sh -c 'cd node; nohup ./startServer.sh 2 2 c22-t2-small 172.31.23.72 59001 0 2 c21-c5-4xlarge 172.31.18.213 59001 &gt; /dev/null 2&gt;&amp;1 &amp;'"</v>
      </c>
    </row>
    <row r="33" spans="2:2" x14ac:dyDescent="0.25">
      <c r="B33" t="str">
        <f>B$2&amp;info!E25&amp;" "&amp;CHAR(34)&amp;B$3&amp;CHAR(39)&amp;B$4&amp;" 2 2 "&amp;info!D25&amp;" "&amp;info!E25&amp;" "&amp;B$6&amp;" "&amp;B$7&amp;" "&amp;C$7&amp;" "&amp;info!F25&amp;B$5&amp;CHAR(39)&amp;CHAR(34)</f>
        <v>ssh -i p2pstorage.pem ec2-user@172.31.31.24 "sh -c 'cd node; nohup ./startServer.sh 2 2 c23-t2-small 172.31.31.24 59001 0 2 c21-c5-4xlarge 172.31.18.213 59001 &gt; /dev/null 2&gt;&amp;1 &amp;'"</v>
      </c>
    </row>
    <row r="34" spans="2:2" x14ac:dyDescent="0.25">
      <c r="B34" t="str">
        <f>B$2&amp;info!E26&amp;" "&amp;CHAR(34)&amp;B$3&amp;CHAR(39)&amp;B$4&amp;" 2 2 "&amp;info!D26&amp;" "&amp;info!E26&amp;" "&amp;B$6&amp;" "&amp;B$7&amp;" "&amp;C$7&amp;" "&amp;info!F26&amp;B$5&amp;CHAR(39)&amp;CHAR(34)</f>
        <v>ssh -i p2pstorage.pem ec2-user@172.31.27.58 "sh -c 'cd node; nohup ./startServer.sh 2 2 c24-t2-small 172.31.27.58 59001 0 2 c21-c5-4xlarge 172.31.18.213 59001 &gt; /dev/null 2&gt;&amp;1 &amp;'"</v>
      </c>
    </row>
    <row r="35" spans="2:2" x14ac:dyDescent="0.25">
      <c r="B35" t="str">
        <f>B$2&amp;info!E27&amp;" "&amp;CHAR(34)&amp;B$3&amp;CHAR(39)&amp;B$4&amp;" 2 2 "&amp;info!D27&amp;" "&amp;info!E27&amp;" "&amp;B$6&amp;" "&amp;B$7&amp;" "&amp;C$7&amp;" "&amp;info!F27&amp;B$5&amp;CHAR(39)&amp;CHAR(34)</f>
        <v>ssh -i p2pstorage.pem ec2-user@172.31.17.169 "sh -c 'cd node; nohup ./startServer.sh 2 2 c25-t2-medium 172.31.17.169 59001 0 2 c21-c5-4xlarge 172.31.18.213 59001 &gt; /dev/null 2&gt;&amp;1 &amp;'"</v>
      </c>
    </row>
    <row r="36" spans="2:2" x14ac:dyDescent="0.25">
      <c r="B36" t="str">
        <f>B$2&amp;info!E28&amp;" "&amp;CHAR(34)&amp;B$3&amp;CHAR(39)&amp;B$4&amp;" 2 2 "&amp;info!D28&amp;" "&amp;info!E28&amp;" "&amp;B$6&amp;" "&amp;B$7&amp;" "&amp;C$7&amp;" "&amp;info!F28&amp;B$5&amp;CHAR(39)&amp;CHAR(34)</f>
        <v>ssh -i p2pstorage.pem ec2-user@172.31.28.12 "sh -c 'cd node; nohup ./startServer.sh 2 2 c26-t2-medium 172.31.28.12 59001 0 2 c21-c5-4xlarge 172.31.18.213 59001 &gt; /dev/null 2&gt;&amp;1 &amp;'"</v>
      </c>
    </row>
    <row r="37" spans="2:2" x14ac:dyDescent="0.25">
      <c r="B37" t="str">
        <f>B$2&amp;info!E29&amp;" "&amp;CHAR(34)&amp;B$3&amp;CHAR(39)&amp;B$4&amp;" 2 2 "&amp;info!D29&amp;" "&amp;info!E29&amp;" "&amp;B$6&amp;" "&amp;B$7&amp;" "&amp;C$7&amp;" "&amp;info!F29&amp;B$5&amp;CHAR(39)&amp;CHAR(34)</f>
        <v>ssh -i p2pstorage.pem ec2-user@172.31.20.85 "sh -c 'cd node; nohup ./startServer.sh 2 2 c27-t2-medium 172.31.20.85 59001 0 2 c21-c5-4xlarge 172.31.18.213 59001 &gt; /dev/null 2&gt;&amp;1 &amp;'"</v>
      </c>
    </row>
    <row r="38" spans="2:2" x14ac:dyDescent="0.25">
      <c r="B38" t="str">
        <f>B$2&amp;info!E30&amp;" "&amp;CHAR(34)&amp;B$3&amp;CHAR(39)&amp;B$4&amp;" 2 2 "&amp;info!D30&amp;" "&amp;info!E30&amp;" "&amp;B$6&amp;" "&amp;B$7&amp;" "&amp;C$7&amp;" "&amp;info!F30&amp;B$5&amp;CHAR(39)&amp;CHAR(34)</f>
        <v>ssh -i p2pstorage.pem ec2-user@172.31.24.7 "sh -c 'cd node; nohup ./startServer.sh 2 2 c28-c5-xlarge 172.31.24.7 59001 0 2 c21-c5-4xlarge 172.31.18.213 59001 &gt; /dev/null 2&gt;&amp;1 &amp;'"</v>
      </c>
    </row>
    <row r="39" spans="2:2" x14ac:dyDescent="0.25">
      <c r="B39" t="str">
        <f>B$2&amp;info!E31&amp;" "&amp;CHAR(34)&amp;B$3&amp;CHAR(39)&amp;B$4&amp;" 2 2 "&amp;info!D31&amp;" "&amp;info!E31&amp;" "&amp;B$6&amp;" "&amp;B$7&amp;" "&amp;C$7&amp;" "&amp;info!F31&amp;B$5&amp;CHAR(39)&amp;CHAR(34)</f>
        <v>ssh -i p2pstorage.pem ec2-user@172.31.29.177 "sh -c 'cd node; nohup ./startServer.sh 2 2 c29-c5-xlarge 172.31.29.177 59001 0 2 c21-c5-4xlarge 172.31.18.213 59001 &gt; /dev/null 2&gt;&amp;1 &amp;'"</v>
      </c>
    </row>
    <row r="40" spans="2:2" x14ac:dyDescent="0.25">
      <c r="B40" t="str">
        <f>B$2&amp;info!E32&amp;" "&amp;CHAR(34)&amp;B$3&amp;CHAR(39)&amp;B$4&amp;" 2 2 "&amp;info!D32&amp;" "&amp;info!E32&amp;" "&amp;B$6&amp;" "&amp;B$7&amp;" "&amp;C$7&amp;" "&amp;info!F32&amp;B$5&amp;CHAR(39)&amp;CHAR(34)</f>
        <v>ssh -i p2pstorage.pem ec2-user@172.31.18.111 "sh -c 'cd node; nohup ./startServer.sh 2 2 c30-c5-2xlarge 172.31.18.111 59001 0 2 c21-c5-4xlarge 172.31.18.213 59001 &gt; /dev/null 2&gt;&amp;1 &amp;'"</v>
      </c>
    </row>
    <row r="41" spans="2:2" x14ac:dyDescent="0.25">
      <c r="B41" t="str">
        <f>B$2&amp;info!E33&amp;" "&amp;CHAR(34)&amp;B$3&amp;CHAR(39)&amp;B$4&amp;" 2 2 "&amp;info!D33&amp;" "&amp;info!E33&amp;" "&amp;B$6&amp;" "&amp;B$7&amp;" "&amp;C$7&amp;" "&amp;info!F33&amp;B$5&amp;CHAR(39)&amp;CHAR(34)</f>
        <v>ssh -i p2pstorage.pem ec2-user@172.31.18.88 "sh -c 'cd node; nohup ./startServer.sh 2 2 c31-c5-4xlarge 172.31.18.88 59001 0 2 c21-c5-4xlarge 172.31.18.213 59001 &gt; /dev/null 2&gt;&amp;1 &amp;'"</v>
      </c>
    </row>
    <row r="42" spans="2:2" x14ac:dyDescent="0.25">
      <c r="B42" t="str">
        <f>B$2&amp;info!E34&amp;" "&amp;CHAR(34)&amp;B$3&amp;CHAR(39)&amp;B$4&amp;" 2 2 "&amp;info!D34&amp;" "&amp;info!E34&amp;" "&amp;B$6&amp;" "&amp;B$7&amp;" "&amp;C$7&amp;" "&amp;info!F34&amp;B$5&amp;CHAR(39)&amp;CHAR(34)</f>
        <v>ssh -i p2pstorage.pem ec2-user@172.31.27.94 "sh -c 'cd node; nohup ./startServer.sh 2 2 c32-t2-small 172.31.27.94 59001 0 2 c31-c5-4xlarge 172.31.18.88 59001 &gt; /dev/null 2&gt;&amp;1 &amp;'"</v>
      </c>
    </row>
    <row r="43" spans="2:2" x14ac:dyDescent="0.25">
      <c r="B43" t="str">
        <f>B$2&amp;info!E35&amp;" "&amp;CHAR(34)&amp;B$3&amp;CHAR(39)&amp;B$4&amp;" 2 2 "&amp;info!D35&amp;" "&amp;info!E35&amp;" "&amp;B$6&amp;" "&amp;B$7&amp;" "&amp;C$7&amp;" "&amp;info!F35&amp;B$5&amp;CHAR(39)&amp;CHAR(34)</f>
        <v>ssh -i p2pstorage.pem ec2-user@172.31.28.207 "sh -c 'cd node; nohup ./startServer.sh 2 2 c33-t2-small 172.31.28.207 59001 0 2 c31-c5-4xlarge 172.31.18.88 59001 &gt; /dev/null 2&gt;&amp;1 &amp;'"</v>
      </c>
    </row>
    <row r="44" spans="2:2" x14ac:dyDescent="0.25">
      <c r="B44" t="str">
        <f>B$2&amp;info!E36&amp;" "&amp;CHAR(34)&amp;B$3&amp;CHAR(39)&amp;B$4&amp;" 2 2 "&amp;info!D36&amp;" "&amp;info!E36&amp;" "&amp;B$6&amp;" "&amp;B$7&amp;" "&amp;C$7&amp;" "&amp;info!F36&amp;B$5&amp;CHAR(39)&amp;CHAR(34)</f>
        <v>ssh -i p2pstorage.pem ec2-user@172.31.28.32 "sh -c 'cd node; nohup ./startServer.sh 2 2 c34-t2-small 172.31.28.32 59001 0 2 c31-c5-4xlarge 172.31.18.88 59001 &gt; /dev/null 2&gt;&amp;1 &amp;'"</v>
      </c>
    </row>
    <row r="45" spans="2:2" x14ac:dyDescent="0.25">
      <c r="B45" t="str">
        <f>B$2&amp;info!E37&amp;" "&amp;CHAR(34)&amp;B$3&amp;CHAR(39)&amp;B$4&amp;" 2 2 "&amp;info!D37&amp;" "&amp;info!E37&amp;" "&amp;B$6&amp;" "&amp;B$7&amp;" "&amp;C$7&amp;" "&amp;info!F37&amp;B$5&amp;CHAR(39)&amp;CHAR(34)</f>
        <v>ssh -i p2pstorage.pem ec2-user@172.31.22.108 "sh -c 'cd node; nohup ./startServer.sh 2 2 c35-t2-medium 172.31.22.108 59001 0 2 c31-c5-4xlarge 172.31.18.88 59001 &gt; /dev/null 2&gt;&amp;1 &amp;'"</v>
      </c>
    </row>
    <row r="46" spans="2:2" x14ac:dyDescent="0.25">
      <c r="B46" t="str">
        <f>B$2&amp;info!E38&amp;" "&amp;CHAR(34)&amp;B$3&amp;CHAR(39)&amp;B$4&amp;" 2 2 "&amp;info!D38&amp;" "&amp;info!E38&amp;" "&amp;B$6&amp;" "&amp;B$7&amp;" "&amp;C$7&amp;" "&amp;info!F38&amp;B$5&amp;CHAR(39)&amp;CHAR(34)</f>
        <v>ssh -i p2pstorage.pem ec2-user@172.31.19.189 "sh -c 'cd node; nohup ./startServer.sh 2 2 c36-t2-medium 172.31.19.189 59001 0 2 c31-c5-4xlarge 172.31.18.88 59001 &gt; /dev/null 2&gt;&amp;1 &amp;'"</v>
      </c>
    </row>
    <row r="47" spans="2:2" x14ac:dyDescent="0.25">
      <c r="B47" t="str">
        <f>B$2&amp;info!E39&amp;" "&amp;CHAR(34)&amp;B$3&amp;CHAR(39)&amp;B$4&amp;" 2 2 "&amp;info!D39&amp;" "&amp;info!E39&amp;" "&amp;B$6&amp;" "&amp;B$7&amp;" "&amp;C$7&amp;" "&amp;info!F39&amp;B$5&amp;CHAR(39)&amp;CHAR(34)</f>
        <v>ssh -i p2pstorage.pem ec2-user@172.31.16.175 "sh -c 'cd node; nohup ./startServer.sh 2 2 c37-t2-medium 172.31.16.175 59001 0 2 c31-c5-4xlarge 172.31.18.88 59001 &gt; /dev/null 2&gt;&amp;1 &amp;'"</v>
      </c>
    </row>
    <row r="48" spans="2:2" x14ac:dyDescent="0.25">
      <c r="B48" t="str">
        <f>B$2&amp;info!E40&amp;" "&amp;CHAR(34)&amp;B$3&amp;CHAR(39)&amp;B$4&amp;" 2 2 "&amp;info!D40&amp;" "&amp;info!E40&amp;" "&amp;B$6&amp;" "&amp;B$7&amp;" "&amp;C$7&amp;" "&amp;info!F40&amp;B$5&amp;CHAR(39)&amp;CHAR(34)</f>
        <v>ssh -i p2pstorage.pem ec2-user@172.31.26.82 "sh -c 'cd node; nohup ./startServer.sh 2 2 c38-c5-xlarge 172.31.26.82 59001 0 2 c31-c5-4xlarge 172.31.18.88 59001 &gt; /dev/null 2&gt;&amp;1 &amp;'"</v>
      </c>
    </row>
    <row r="49" spans="2:2" x14ac:dyDescent="0.25">
      <c r="B49" t="str">
        <f>B$2&amp;info!E41&amp;" "&amp;CHAR(34)&amp;B$3&amp;CHAR(39)&amp;B$4&amp;" 2 2 "&amp;info!D41&amp;" "&amp;info!E41&amp;" "&amp;B$6&amp;" "&amp;B$7&amp;" "&amp;C$7&amp;" "&amp;info!F41&amp;B$5&amp;CHAR(39)&amp;CHAR(34)</f>
        <v>ssh -i p2pstorage.pem ec2-user@172.31.29.98 "sh -c 'cd node; nohup ./startServer.sh 2 2 c39-c5-xlarge 172.31.29.98 59001 0 2 c31-c5-4xlarge 172.31.18.88 59001 &gt; /dev/null 2&gt;&amp;1 &amp;'"</v>
      </c>
    </row>
    <row r="50" spans="2:2" x14ac:dyDescent="0.25">
      <c r="B50" t="str">
        <f>B$2&amp;info!E42&amp;" "&amp;CHAR(34)&amp;B$3&amp;CHAR(39)&amp;B$4&amp;" 2 2 "&amp;info!D42&amp;" "&amp;info!E42&amp;" "&amp;B$6&amp;" "&amp;B$7&amp;" "&amp;C$7&amp;" "&amp;info!F42&amp;B$5&amp;CHAR(39)&amp;CHAR(34)</f>
        <v>ssh -i p2pstorage.pem ec2-user@172.31.23.103 "sh -c 'cd node; nohup ./startServer.sh 2 2 c40-c5-2xlarge 172.31.23.103 59001 0 2 c31-c5-4xlarge 172.31.18.88 59001 &gt; /dev/null 2&gt;&amp;1 &amp;'"</v>
      </c>
    </row>
    <row r="51" spans="2:2" x14ac:dyDescent="0.25">
      <c r="B51" s="3" t="s">
        <v>145</v>
      </c>
    </row>
    <row r="52" spans="2:2" x14ac:dyDescent="0.25">
      <c r="B52" t="str">
        <f>B$2&amp;info!E44&amp;" "&amp;CHAR(34)&amp;B$3&amp;CHAR(39)&amp;B$4&amp;" 2 2 "&amp;info!D44&amp;" "&amp;info!E44&amp;" "&amp;B$6&amp;" "&amp;B$7&amp;" "&amp;C$7&amp;" "&amp;info!F44&amp;B$5&amp;CHAR(39)&amp;CHAR(34)</f>
        <v>ssh -i p2pstorage.pem ec2-user@172.31.29.34 "sh -c 'cd node; nohup ./startServer.sh 2 2 c41-c5-4xlarge 172.31.29.34 59001 0 2 c31-c5-4xlarge 172.31.18.88 59001 &gt; /dev/null 2&gt;&amp;1 &amp;'"</v>
      </c>
    </row>
    <row r="53" spans="2:2" x14ac:dyDescent="0.25">
      <c r="B53" t="str">
        <f>B$2&amp;info!E45&amp;" "&amp;CHAR(34)&amp;B$3&amp;CHAR(39)&amp;B$4&amp;" 2 2 "&amp;info!D45&amp;" "&amp;info!E45&amp;" "&amp;B$6&amp;" "&amp;B$7&amp;" "&amp;C$7&amp;" "&amp;info!F45&amp;B$5&amp;CHAR(39)&amp;CHAR(34)</f>
        <v>ssh -i p2pstorage.pem ec2-user@172.31.31.208 "sh -c 'cd node; nohup ./startServer.sh 2 2 c42-t2-small 172.31.31.208 59001 0 2 c41-c5-4xlarge 172.31.29.34 59001 &gt; /dev/null 2&gt;&amp;1 &amp;'"</v>
      </c>
    </row>
    <row r="54" spans="2:2" x14ac:dyDescent="0.25">
      <c r="B54" t="str">
        <f>B$2&amp;info!E46&amp;" "&amp;CHAR(34)&amp;B$3&amp;CHAR(39)&amp;B$4&amp;" 2 2 "&amp;info!D46&amp;" "&amp;info!E46&amp;" "&amp;B$6&amp;" "&amp;B$7&amp;" "&amp;C$7&amp;" "&amp;info!F46&amp;B$5&amp;CHAR(39)&amp;CHAR(34)</f>
        <v>ssh -i p2pstorage.pem ec2-user@172.31.19.51 "sh -c 'cd node; nohup ./startServer.sh 2 2 c43-t2-small 172.31.19.51 59001 0 2 c41-c5-4xlarge 172.31.29.34 59001 &gt; /dev/null 2&gt;&amp;1 &amp;'"</v>
      </c>
    </row>
    <row r="55" spans="2:2" x14ac:dyDescent="0.25">
      <c r="B55" t="str">
        <f>B$2&amp;info!E47&amp;" "&amp;CHAR(34)&amp;B$3&amp;CHAR(39)&amp;B$4&amp;" 2 2 "&amp;info!D47&amp;" "&amp;info!E47&amp;" "&amp;B$6&amp;" "&amp;B$7&amp;" "&amp;C$7&amp;" "&amp;info!F47&amp;B$5&amp;CHAR(39)&amp;CHAR(34)</f>
        <v>ssh -i p2pstorage.pem ec2-user@172.31.31.54 "sh -c 'cd node; nohup ./startServer.sh 2 2 c44-t2-small 172.31.31.54 59001 0 2 c41-c5-4xlarge 172.31.29.34 59001 &gt; /dev/null 2&gt;&amp;1 &amp;'"</v>
      </c>
    </row>
    <row r="56" spans="2:2" x14ac:dyDescent="0.25">
      <c r="B56" t="str">
        <f>B$2&amp;info!E48&amp;" "&amp;CHAR(34)&amp;B$3&amp;CHAR(39)&amp;B$4&amp;" 2 2 "&amp;info!D48&amp;" "&amp;info!E48&amp;" "&amp;B$6&amp;" "&amp;B$7&amp;" "&amp;C$7&amp;" "&amp;info!F48&amp;B$5&amp;CHAR(39)&amp;CHAR(34)</f>
        <v>ssh -i p2pstorage.pem ec2-user@172.31.26.164 "sh -c 'cd node; nohup ./startServer.sh 2 2 c45-t2-medium 172.31.26.164 59001 0 2 c41-c5-4xlarge 172.31.29.34 59001 &gt; /dev/null 2&gt;&amp;1 &amp;'"</v>
      </c>
    </row>
    <row r="57" spans="2:2" x14ac:dyDescent="0.25">
      <c r="B57" t="str">
        <f>B$2&amp;info!E49&amp;" "&amp;CHAR(34)&amp;B$3&amp;CHAR(39)&amp;B$4&amp;" 2 2 "&amp;info!D49&amp;" "&amp;info!E49&amp;" "&amp;B$6&amp;" "&amp;B$7&amp;" "&amp;C$7&amp;" "&amp;info!F49&amp;B$5&amp;CHAR(39)&amp;CHAR(34)</f>
        <v>ssh -i p2pstorage.pem ec2-user@172.31.25.233 "sh -c 'cd node; nohup ./startServer.sh 2 2 c46-t2-medium 172.31.25.233 59001 0 2 c41-c5-4xlarge 172.31.29.34 59001 &gt; /dev/null 2&gt;&amp;1 &amp;'"</v>
      </c>
    </row>
    <row r="58" spans="2:2" x14ac:dyDescent="0.25">
      <c r="B58" t="str">
        <f>B$2&amp;info!E50&amp;" "&amp;CHAR(34)&amp;B$3&amp;CHAR(39)&amp;B$4&amp;" 2 2 "&amp;info!D50&amp;" "&amp;info!E50&amp;" "&amp;B$6&amp;" "&amp;B$7&amp;" "&amp;C$7&amp;" "&amp;info!F50&amp;B$5&amp;CHAR(39)&amp;CHAR(34)</f>
        <v>ssh -i p2pstorage.pem ec2-user@172.31.22.203 "sh -c 'cd node; nohup ./startServer.sh 2 2 c47-t2-medium 172.31.22.203 59001 0 2 c41-c5-4xlarge 172.31.29.34 59001 &gt; /dev/null 2&gt;&amp;1 &amp;'"</v>
      </c>
    </row>
    <row r="59" spans="2:2" x14ac:dyDescent="0.25">
      <c r="B59" t="str">
        <f>B$2&amp;info!E51&amp;" "&amp;CHAR(34)&amp;B$3&amp;CHAR(39)&amp;B$4&amp;" 2 2 "&amp;info!D51&amp;" "&amp;info!E51&amp;" "&amp;B$6&amp;" "&amp;B$7&amp;" "&amp;C$7&amp;" "&amp;info!F51&amp;B$5&amp;CHAR(39)&amp;CHAR(34)</f>
        <v>ssh -i p2pstorage.pem ec2-user@172.31.19.225 "sh -c 'cd node; nohup ./startServer.sh 2 2 c48-c5-xlarge 172.31.19.225 59001 0 2 c41-c5-4xlarge 172.31.29.34 59001 &gt; /dev/null 2&gt;&amp;1 &amp;'"</v>
      </c>
    </row>
    <row r="60" spans="2:2" x14ac:dyDescent="0.25">
      <c r="B60" t="str">
        <f>B$2&amp;info!E52&amp;" "&amp;CHAR(34)&amp;B$3&amp;CHAR(39)&amp;B$4&amp;" 2 2 "&amp;info!D52&amp;" "&amp;info!E52&amp;" "&amp;B$6&amp;" "&amp;B$7&amp;" "&amp;C$7&amp;" "&amp;info!F52&amp;B$5&amp;CHAR(39)&amp;CHAR(34)</f>
        <v>ssh -i p2pstorage.pem ec2-user@172.31.26.244 "sh -c 'cd node; nohup ./startServer.sh 2 2 c49-c5-xlarge 172.31.26.244 59001 0 2 c41-c5-4xlarge 172.31.29.34 59001 &gt; /dev/null 2&gt;&amp;1 &amp;'"</v>
      </c>
    </row>
    <row r="61" spans="2:2" x14ac:dyDescent="0.25">
      <c r="B61" t="str">
        <f>B$2&amp;info!E53&amp;" "&amp;CHAR(34)&amp;B$3&amp;CHAR(39)&amp;B$4&amp;" 2 2 "&amp;info!D53&amp;" "&amp;info!E53&amp;" "&amp;B$6&amp;" "&amp;B$7&amp;" "&amp;C$7&amp;" "&amp;info!F53&amp;B$5&amp;CHAR(39)&amp;CHAR(34)</f>
        <v>ssh -i p2pstorage.pem ec2-user@172.31.30.61 "sh -c 'cd node; nohup ./startServer.sh 2 2 c50-c5-2xlarge 172.31.30.61 59001 0 2 c41-c5-4xlarge 172.31.29.34 59001 &gt; /dev/null 2&gt;&amp;1 &amp;'"</v>
      </c>
    </row>
    <row r="62" spans="2:2" x14ac:dyDescent="0.25">
      <c r="B62" t="str">
        <f>B$2&amp;info!E54&amp;" "&amp;CHAR(34)&amp;B$3&amp;CHAR(39)&amp;B$4&amp;" 2 2 "&amp;info!D54&amp;" "&amp;info!E54&amp;" "&amp;B$6&amp;" "&amp;B$7&amp;" "&amp;C$7&amp;" "&amp;info!F54&amp;B$5&amp;CHAR(39)&amp;CHAR(34)</f>
        <v>ssh -i p2pstorage.pem ec2-user@172.31.29.11 "sh -c 'cd node; nohup ./startServer.sh 2 2 c51-c5-4xlarge 172.31.29.11 59001 0 2 c41-c5-4xlarge 172.31.29.34 59001 &gt; /dev/null 2&gt;&amp;1 &amp;'"</v>
      </c>
    </row>
    <row r="63" spans="2:2" x14ac:dyDescent="0.25">
      <c r="B63" t="str">
        <f>B$2&amp;info!E55&amp;" "&amp;CHAR(34)&amp;B$3&amp;CHAR(39)&amp;B$4&amp;" 2 2 "&amp;info!D55&amp;" "&amp;info!E55&amp;" "&amp;B$6&amp;" "&amp;B$7&amp;" "&amp;C$7&amp;" "&amp;info!F55&amp;B$5&amp;CHAR(39)&amp;CHAR(34)</f>
        <v>ssh -i p2pstorage.pem ec2-user@172.31.17.199 "sh -c 'cd node; nohup ./startServer.sh 2 2 c52-t2-small 172.31.17.199 59001 0 2 c51-c5-4xlarge 172.31.29.11 59001 &gt; /dev/null 2&gt;&amp;1 &amp;'"</v>
      </c>
    </row>
    <row r="64" spans="2:2" x14ac:dyDescent="0.25">
      <c r="B64" t="str">
        <f>B$2&amp;info!E56&amp;" "&amp;CHAR(34)&amp;B$3&amp;CHAR(39)&amp;B$4&amp;" 2 2 "&amp;info!D56&amp;" "&amp;info!E56&amp;" "&amp;B$6&amp;" "&amp;B$7&amp;" "&amp;C$7&amp;" "&amp;info!F56&amp;B$5&amp;CHAR(39)&amp;CHAR(34)</f>
        <v>ssh -i p2pstorage.pem ec2-user@172.31.26.151 "sh -c 'cd node; nohup ./startServer.sh 2 2 c53-t2-small 172.31.26.151 59001 0 2 c51-c5-4xlarge 172.31.29.11 59001 &gt; /dev/null 2&gt;&amp;1 &amp;'"</v>
      </c>
    </row>
    <row r="65" spans="2:2" x14ac:dyDescent="0.25">
      <c r="B65" t="str">
        <f>B$2&amp;info!E57&amp;" "&amp;CHAR(34)&amp;B$3&amp;CHAR(39)&amp;B$4&amp;" 2 2 "&amp;info!D57&amp;" "&amp;info!E57&amp;" "&amp;B$6&amp;" "&amp;B$7&amp;" "&amp;C$7&amp;" "&amp;info!F57&amp;B$5&amp;CHAR(39)&amp;CHAR(34)</f>
        <v>ssh -i p2pstorage.pem ec2-user@172.31.25.77 "sh -c 'cd node; nohup ./startServer.sh 2 2 c54-t2-small 172.31.25.77 59001 0 2 c51-c5-4xlarge 172.31.29.11 59001 &gt; /dev/null 2&gt;&amp;1 &amp;'"</v>
      </c>
    </row>
    <row r="66" spans="2:2" x14ac:dyDescent="0.25">
      <c r="B66" t="str">
        <f>B$2&amp;info!E58&amp;" "&amp;CHAR(34)&amp;B$3&amp;CHAR(39)&amp;B$4&amp;" 2 2 "&amp;info!D58&amp;" "&amp;info!E58&amp;" "&amp;B$6&amp;" "&amp;B$7&amp;" "&amp;C$7&amp;" "&amp;info!F58&amp;B$5&amp;CHAR(39)&amp;CHAR(34)</f>
        <v>ssh -i p2pstorage.pem ec2-user@172.31.27.166 "sh -c 'cd node; nohup ./startServer.sh 2 2 c55-t2-medium 172.31.27.166 59001 0 2 c51-c5-4xlarge 172.31.29.11 59001 &gt; /dev/null 2&gt;&amp;1 &amp;'"</v>
      </c>
    </row>
    <row r="67" spans="2:2" x14ac:dyDescent="0.25">
      <c r="B67" t="str">
        <f>B$2&amp;info!E59&amp;" "&amp;CHAR(34)&amp;B$3&amp;CHAR(39)&amp;B$4&amp;" 2 2 "&amp;info!D59&amp;" "&amp;info!E59&amp;" "&amp;B$6&amp;" "&amp;B$7&amp;" "&amp;C$7&amp;" "&amp;info!F59&amp;B$5&amp;CHAR(39)&amp;CHAR(34)</f>
        <v>ssh -i p2pstorage.pem ec2-user@172.31.17.98 "sh -c 'cd node; nohup ./startServer.sh 2 2 c56-t2-medium 172.31.17.98 59001 0 2 c51-c5-4xlarge 172.31.29.11 59001 &gt; /dev/null 2&gt;&amp;1 &amp;'"</v>
      </c>
    </row>
    <row r="68" spans="2:2" x14ac:dyDescent="0.25">
      <c r="B68" t="str">
        <f>B$2&amp;info!E60&amp;" "&amp;CHAR(34)&amp;B$3&amp;CHAR(39)&amp;B$4&amp;" 2 2 "&amp;info!D60&amp;" "&amp;info!E60&amp;" "&amp;B$6&amp;" "&amp;B$7&amp;" "&amp;C$7&amp;" "&amp;info!F60&amp;B$5&amp;CHAR(39)&amp;CHAR(34)</f>
        <v>ssh -i p2pstorage.pem ec2-user@172.31.27.25 "sh -c 'cd node; nohup ./startServer.sh 2 2 c57-t2-medium 172.31.27.25 59001 0 2 c51-c5-4xlarge 172.31.29.11 59001 &gt; /dev/null 2&gt;&amp;1 &amp;'"</v>
      </c>
    </row>
    <row r="69" spans="2:2" x14ac:dyDescent="0.25">
      <c r="B69" t="str">
        <f>B$2&amp;info!E61&amp;" "&amp;CHAR(34)&amp;B$3&amp;CHAR(39)&amp;B$4&amp;" 2 2 "&amp;info!D61&amp;" "&amp;info!E61&amp;" "&amp;B$6&amp;" "&amp;B$7&amp;" "&amp;C$7&amp;" "&amp;info!F61&amp;B$5&amp;CHAR(39)&amp;CHAR(34)</f>
        <v>ssh -i p2pstorage.pem ec2-user@172.31.24.96 "sh -c 'cd node; nohup ./startServer.sh 2 2 c58-c5-xlarge 172.31.24.96 59001 0 2 c51-c5-4xlarge 172.31.29.11 59001 &gt; /dev/null 2&gt;&amp;1 &amp;'"</v>
      </c>
    </row>
    <row r="70" spans="2:2" x14ac:dyDescent="0.25">
      <c r="B70" t="str">
        <f>B$2&amp;info!E62&amp;" "&amp;CHAR(34)&amp;B$3&amp;CHAR(39)&amp;B$4&amp;" 2 2 "&amp;info!D62&amp;" "&amp;info!E62&amp;" "&amp;B$6&amp;" "&amp;B$7&amp;" "&amp;C$7&amp;" "&amp;info!F62&amp;B$5&amp;CHAR(39)&amp;CHAR(34)</f>
        <v>ssh -i p2pstorage.pem ec2-user@172.31.22.197 "sh -c 'cd node; nohup ./startServer.sh 2 2 c59-c5-xlarge 172.31.22.197 59001 0 2 c51-c5-4xlarge 172.31.29.11 59001 &gt; /dev/null 2&gt;&amp;1 &amp;'"</v>
      </c>
    </row>
    <row r="71" spans="2:2" x14ac:dyDescent="0.25">
      <c r="B71" t="str">
        <f>B$2&amp;info!E63&amp;" "&amp;CHAR(34)&amp;B$3&amp;CHAR(39)&amp;B$4&amp;" 2 2 "&amp;info!D63&amp;" "&amp;info!E63&amp;" "&amp;B$6&amp;" "&amp;B$7&amp;" "&amp;C$7&amp;" "&amp;info!F63&amp;B$5&amp;CHAR(39)&amp;CHAR(34)</f>
        <v>ssh -i p2pstorage.pem ec2-user@172.31.20.108 "sh -c 'cd node; nohup ./startServer.sh 2 2 c60-c5-2xlarge 172.31.20.108 59001 0 2 c51-c5-4xlarge 172.31.29.11 59001 &gt; /dev/null 2&gt;&amp;1 &amp;'"</v>
      </c>
    </row>
    <row r="72" spans="2:2" x14ac:dyDescent="0.25">
      <c r="B72" s="3" t="s">
        <v>145</v>
      </c>
    </row>
    <row r="73" spans="2:2" x14ac:dyDescent="0.25">
      <c r="B73" t="str">
        <f>B$2&amp;info!E65&amp;" "&amp;CHAR(34)&amp;B$3&amp;CHAR(39)&amp;B$4&amp;" 2 2 "&amp;info!D65&amp;" "&amp;info!E65&amp;" "&amp;B$6&amp;" "&amp;B$7&amp;" "&amp;C$7&amp;" "&amp;info!F65&amp;B$5&amp;CHAR(39)&amp;CHAR(34)</f>
        <v>ssh -i p2pstorage.pem ec2-user@172.31.27.188 "sh -c 'cd node; nohup ./startServer.sh 2 2 c61-c5-4xlarge 172.31.27.188 59001 0 2 c51-c5-4xlarge 172.31.29.11 59001 &gt; /dev/null 2&gt;&amp;1 &amp;'"</v>
      </c>
    </row>
    <row r="74" spans="2:2" x14ac:dyDescent="0.25">
      <c r="B74" t="str">
        <f>B$2&amp;info!E66&amp;" "&amp;CHAR(34)&amp;B$3&amp;CHAR(39)&amp;B$4&amp;" 2 2 "&amp;info!D66&amp;" "&amp;info!E66&amp;" "&amp;B$6&amp;" "&amp;B$7&amp;" "&amp;C$7&amp;" "&amp;info!F66&amp;B$5&amp;CHAR(39)&amp;CHAR(34)</f>
        <v>ssh -i p2pstorage.pem ec2-user@172.31.26.227 "sh -c 'cd node; nohup ./startServer.sh 2 2 c62-t2-small 172.31.26.227 59001 0 2 c61-c5-4xlarge 172.31.27.188 59001 &gt; /dev/null 2&gt;&amp;1 &amp;'"</v>
      </c>
    </row>
    <row r="75" spans="2:2" x14ac:dyDescent="0.25">
      <c r="B75" t="str">
        <f>B$2&amp;info!E67&amp;" "&amp;CHAR(34)&amp;B$3&amp;CHAR(39)&amp;B$4&amp;" 2 2 "&amp;info!D67&amp;" "&amp;info!E67&amp;" "&amp;B$6&amp;" "&amp;B$7&amp;" "&amp;C$7&amp;" "&amp;info!F67&amp;B$5&amp;CHAR(39)&amp;CHAR(34)</f>
        <v>ssh -i p2pstorage.pem ec2-user@172.31.19.74 "sh -c 'cd node; nohup ./startServer.sh 2 2 c63-t2-small 172.31.19.74 59001 0 2 c61-c5-4xlarge 172.31.27.188 59001 &gt; /dev/null 2&gt;&amp;1 &amp;'"</v>
      </c>
    </row>
    <row r="76" spans="2:2" x14ac:dyDescent="0.25">
      <c r="B76" t="str">
        <f>B$2&amp;info!E68&amp;" "&amp;CHAR(34)&amp;B$3&amp;CHAR(39)&amp;B$4&amp;" 2 2 "&amp;info!D68&amp;" "&amp;info!E68&amp;" "&amp;B$6&amp;" "&amp;B$7&amp;" "&amp;C$7&amp;" "&amp;info!F68&amp;B$5&amp;CHAR(39)&amp;CHAR(34)</f>
        <v>ssh -i p2pstorage.pem ec2-user@172.31.18.89 "sh -c 'cd node; nohup ./startServer.sh 2 2 c64-t2-small 172.31.18.89 59001 0 2 c61-c5-4xlarge 172.31.27.188 59001 &gt; /dev/null 2&gt;&amp;1 &amp;'"</v>
      </c>
    </row>
    <row r="77" spans="2:2" x14ac:dyDescent="0.25">
      <c r="B77" t="str">
        <f>B$2&amp;info!E69&amp;" "&amp;CHAR(34)&amp;B$3&amp;CHAR(39)&amp;B$4&amp;" 2 2 "&amp;info!D69&amp;" "&amp;info!E69&amp;" "&amp;B$6&amp;" "&amp;B$7&amp;" "&amp;C$7&amp;" "&amp;info!F69&amp;B$5&amp;CHAR(39)&amp;CHAR(34)</f>
        <v>ssh -i p2pstorage.pem ec2-user@172.31.22.198 "sh -c 'cd node; nohup ./startServer.sh 2 2 c65-t2-medium 172.31.22.198 59001 0 2 c61-c5-4xlarge 172.31.27.188 59001 &gt; /dev/null 2&gt;&amp;1 &amp;'"</v>
      </c>
    </row>
    <row r="78" spans="2:2" x14ac:dyDescent="0.25">
      <c r="B78" t="str">
        <f>B$2&amp;info!E70&amp;" "&amp;CHAR(34)&amp;B$3&amp;CHAR(39)&amp;B$4&amp;" 2 2 "&amp;info!D70&amp;" "&amp;info!E70&amp;" "&amp;B$6&amp;" "&amp;B$7&amp;" "&amp;C$7&amp;" "&amp;info!F70&amp;B$5&amp;CHAR(39)&amp;CHAR(34)</f>
        <v>ssh -i p2pstorage.pem ec2-user@172.31.20.6 "sh -c 'cd node; nohup ./startServer.sh 2 2 c66-t2-medium 172.31.20.6 59001 0 2 c61-c5-4xlarge 172.31.27.188 59001 &gt; /dev/null 2&gt;&amp;1 &amp;'"</v>
      </c>
    </row>
    <row r="79" spans="2:2" x14ac:dyDescent="0.25">
      <c r="B79" t="str">
        <f>B$2&amp;info!E71&amp;" "&amp;CHAR(34)&amp;B$3&amp;CHAR(39)&amp;B$4&amp;" 2 2 "&amp;info!D71&amp;" "&amp;info!E71&amp;" "&amp;B$6&amp;" "&amp;B$7&amp;" "&amp;C$7&amp;" "&amp;info!F71&amp;B$5&amp;CHAR(39)&amp;CHAR(34)</f>
        <v>ssh -i p2pstorage.pem ec2-user@172.31.24.234 "sh -c 'cd node; nohup ./startServer.sh 2 2 c67-t2-medium 172.31.24.234 59001 0 2 c61-c5-4xlarge 172.31.27.188 59001 &gt; /dev/null 2&gt;&amp;1 &amp;'"</v>
      </c>
    </row>
    <row r="80" spans="2:2" x14ac:dyDescent="0.25">
      <c r="B80" t="str">
        <f>B$2&amp;info!E72&amp;" "&amp;CHAR(34)&amp;B$3&amp;CHAR(39)&amp;B$4&amp;" 2 2 "&amp;info!D72&amp;" "&amp;info!E72&amp;" "&amp;B$6&amp;" "&amp;B$7&amp;" "&amp;C$7&amp;" "&amp;info!F72&amp;B$5&amp;CHAR(39)&amp;CHAR(34)</f>
        <v>ssh -i p2pstorage.pem ec2-user@172.31.16.123 "sh -c 'cd node; nohup ./startServer.sh 2 2 c68-c5-xlarge 172.31.16.123 59001 0 2 c61-c5-4xlarge 172.31.27.188 59001 &gt; /dev/null 2&gt;&amp;1 &amp;'"</v>
      </c>
    </row>
    <row r="81" spans="2:2" x14ac:dyDescent="0.25">
      <c r="B81" t="str">
        <f>B$2&amp;info!E73&amp;" "&amp;CHAR(34)&amp;B$3&amp;CHAR(39)&amp;B$4&amp;" 2 2 "&amp;info!D73&amp;" "&amp;info!E73&amp;" "&amp;B$6&amp;" "&amp;B$7&amp;" "&amp;C$7&amp;" "&amp;info!F73&amp;B$5&amp;CHAR(39)&amp;CHAR(34)</f>
        <v>ssh -i p2pstorage.pem ec2-user@172.31.22.139 "sh -c 'cd node; nohup ./startServer.sh 2 2 c69-c5-xlarge 172.31.22.139 59001 0 2 c61-c5-4xlarge 172.31.27.188 59001 &gt; /dev/null 2&gt;&amp;1 &amp;'"</v>
      </c>
    </row>
    <row r="82" spans="2:2" x14ac:dyDescent="0.25">
      <c r="B82" t="str">
        <f>B$2&amp;info!E74&amp;" "&amp;CHAR(34)&amp;B$3&amp;CHAR(39)&amp;B$4&amp;" 2 2 "&amp;info!D74&amp;" "&amp;info!E74&amp;" "&amp;B$6&amp;" "&amp;B$7&amp;" "&amp;C$7&amp;" "&amp;info!F74&amp;B$5&amp;CHAR(39)&amp;CHAR(34)</f>
        <v>ssh -i p2pstorage.pem ec2-user@172.31.29.152 "sh -c 'cd node; nohup ./startServer.sh 2 2 c70-c5-2xlarge 172.31.29.152 59001 0 2 c61-c5-4xlarge 172.31.27.188 59001 &gt; /dev/null 2&gt;&amp;1 &amp;'"</v>
      </c>
    </row>
    <row r="83" spans="2:2" x14ac:dyDescent="0.25">
      <c r="B83" t="str">
        <f>B$2&amp;info!E75&amp;" "&amp;CHAR(34)&amp;B$3&amp;CHAR(39)&amp;B$4&amp;" 2 2 "&amp;info!D75&amp;" "&amp;info!E75&amp;" "&amp;B$6&amp;" "&amp;B$7&amp;" "&amp;C$7&amp;" "&amp;info!F75&amp;B$5&amp;CHAR(39)&amp;CHAR(34)</f>
        <v>ssh -i p2pstorage.pem ec2-user@172.31.28.114 "sh -c 'cd node; nohup ./startServer.sh 2 2 c71-c5-4xlarge 172.31.28.114 59001 0 2 c61-c5-4xlarge 172.31.27.188 59001 &gt; /dev/null 2&gt;&amp;1 &amp;'"</v>
      </c>
    </row>
    <row r="84" spans="2:2" x14ac:dyDescent="0.25">
      <c r="B84" t="str">
        <f>B$2&amp;info!E76&amp;" "&amp;CHAR(34)&amp;B$3&amp;CHAR(39)&amp;B$4&amp;" 2 2 "&amp;info!D76&amp;" "&amp;info!E76&amp;" "&amp;B$6&amp;" "&amp;B$7&amp;" "&amp;C$7&amp;" "&amp;info!F76&amp;B$5&amp;CHAR(39)&amp;CHAR(34)</f>
        <v>ssh -i p2pstorage.pem ec2-user@172.31.26.46 "sh -c 'cd node; nohup ./startServer.sh 2 2 c72-t2-small 172.31.26.46 59001 0 2 c71-c5-4xlarge 172.31.28.114 59001 &gt; /dev/null 2&gt;&amp;1 &amp;'"</v>
      </c>
    </row>
    <row r="85" spans="2:2" x14ac:dyDescent="0.25">
      <c r="B85" t="str">
        <f>B$2&amp;info!E77&amp;" "&amp;CHAR(34)&amp;B$3&amp;CHAR(39)&amp;B$4&amp;" 2 2 "&amp;info!D77&amp;" "&amp;info!E77&amp;" "&amp;B$6&amp;" "&amp;B$7&amp;" "&amp;C$7&amp;" "&amp;info!F77&amp;B$5&amp;CHAR(39)&amp;CHAR(34)</f>
        <v>ssh -i p2pstorage.pem ec2-user@172.31.17.17 "sh -c 'cd node; nohup ./startServer.sh 2 2 c73-t2-small 172.31.17.17 59001 0 2 c71-c5-4xlarge 172.31.28.114 59001 &gt; /dev/null 2&gt;&amp;1 &amp;'"</v>
      </c>
    </row>
    <row r="86" spans="2:2" x14ac:dyDescent="0.25">
      <c r="B86" t="str">
        <f>B$2&amp;info!E78&amp;" "&amp;CHAR(34)&amp;B$3&amp;CHAR(39)&amp;B$4&amp;" 2 2 "&amp;info!D78&amp;" "&amp;info!E78&amp;" "&amp;B$6&amp;" "&amp;B$7&amp;" "&amp;C$7&amp;" "&amp;info!F78&amp;B$5&amp;CHAR(39)&amp;CHAR(34)</f>
        <v>ssh -i p2pstorage.pem ec2-user@172.31.24.201 "sh -c 'cd node; nohup ./startServer.sh 2 2 c74-t2-small 172.31.24.201 59001 0 2 c71-c5-4xlarge 172.31.28.114 59001 &gt; /dev/null 2&gt;&amp;1 &amp;'"</v>
      </c>
    </row>
    <row r="87" spans="2:2" x14ac:dyDescent="0.25">
      <c r="B87" t="str">
        <f>B$2&amp;info!E79&amp;" "&amp;CHAR(34)&amp;B$3&amp;CHAR(39)&amp;B$4&amp;" 2 2 "&amp;info!D79&amp;" "&amp;info!E79&amp;" "&amp;B$6&amp;" "&amp;B$7&amp;" "&amp;C$7&amp;" "&amp;info!F79&amp;B$5&amp;CHAR(39)&amp;CHAR(34)</f>
        <v>ssh -i p2pstorage.pem ec2-user@172.31.19.18 "sh -c 'cd node; nohup ./startServer.sh 2 2 c75-t2-medium 172.31.19.18 59001 0 2 c71-c5-4xlarge 172.31.28.114 59001 &gt; /dev/null 2&gt;&amp;1 &amp;'"</v>
      </c>
    </row>
    <row r="88" spans="2:2" x14ac:dyDescent="0.25">
      <c r="B88" t="str">
        <f>B$2&amp;info!E80&amp;" "&amp;CHAR(34)&amp;B$3&amp;CHAR(39)&amp;B$4&amp;" 2 2 "&amp;info!D80&amp;" "&amp;info!E80&amp;" "&amp;B$6&amp;" "&amp;B$7&amp;" "&amp;C$7&amp;" "&amp;info!F80&amp;B$5&amp;CHAR(39)&amp;CHAR(34)</f>
        <v>ssh -i p2pstorage.pem ec2-user@172.31.21.225 "sh -c 'cd node; nohup ./startServer.sh 2 2 c76-t2-medium 172.31.21.225 59001 0 2 c71-c5-4xlarge 172.31.28.114 59001 &gt; /dev/null 2&gt;&amp;1 &amp;'"</v>
      </c>
    </row>
    <row r="89" spans="2:2" x14ac:dyDescent="0.25">
      <c r="B89" t="str">
        <f>B$2&amp;info!E81&amp;" "&amp;CHAR(34)&amp;B$3&amp;CHAR(39)&amp;B$4&amp;" 2 2 "&amp;info!D81&amp;" "&amp;info!E81&amp;" "&amp;B$6&amp;" "&amp;B$7&amp;" "&amp;C$7&amp;" "&amp;info!F81&amp;B$5&amp;CHAR(39)&amp;CHAR(34)</f>
        <v>ssh -i p2pstorage.pem ec2-user@172.31.16.19 "sh -c 'cd node; nohup ./startServer.sh 2 2 c77-t2-medium 172.31.16.19 59001 0 2 c71-c5-4xlarge 172.31.28.114 59001 &gt; /dev/null 2&gt;&amp;1 &amp;'"</v>
      </c>
    </row>
    <row r="90" spans="2:2" x14ac:dyDescent="0.25">
      <c r="B90" t="str">
        <f>B$2&amp;info!E82&amp;" "&amp;CHAR(34)&amp;B$3&amp;CHAR(39)&amp;B$4&amp;" 2 2 "&amp;info!D82&amp;" "&amp;info!E82&amp;" "&amp;B$6&amp;" "&amp;B$7&amp;" "&amp;C$7&amp;" "&amp;info!F82&amp;B$5&amp;CHAR(39)&amp;CHAR(34)</f>
        <v>ssh -i p2pstorage.pem ec2-user@172.31.18.160 "sh -c 'cd node; nohup ./startServer.sh 2 2 c78-c5-xlarge 172.31.18.160 59001 0 2 c71-c5-4xlarge 172.31.28.114 59001 &gt; /dev/null 2&gt;&amp;1 &amp;'"</v>
      </c>
    </row>
    <row r="91" spans="2:2" x14ac:dyDescent="0.25">
      <c r="B91" t="str">
        <f>B$2&amp;info!E83&amp;" "&amp;CHAR(34)&amp;B$3&amp;CHAR(39)&amp;B$4&amp;" 2 2 "&amp;info!D83&amp;" "&amp;info!E83&amp;" "&amp;B$6&amp;" "&amp;B$7&amp;" "&amp;C$7&amp;" "&amp;info!F83&amp;B$5&amp;CHAR(39)&amp;CHAR(34)</f>
        <v>ssh -i p2pstorage.pem ec2-user@172.31.31.237 "sh -c 'cd node; nohup ./startServer.sh 2 2 c79-c5-xlarge 172.31.31.237 59001 0 2 c71-c5-4xlarge 172.31.28.114 59001 &gt; /dev/null 2&gt;&amp;1 &amp;'"</v>
      </c>
    </row>
    <row r="92" spans="2:2" x14ac:dyDescent="0.25">
      <c r="B92" t="str">
        <f>B$2&amp;info!E84&amp;" "&amp;CHAR(34)&amp;B$3&amp;CHAR(39)&amp;B$4&amp;" 2 2 "&amp;info!D84&amp;" "&amp;info!E84&amp;" "&amp;B$6&amp;" "&amp;B$7&amp;" "&amp;C$7&amp;" "&amp;info!F84&amp;B$5&amp;CHAR(39)&amp;CHAR(34)</f>
        <v>ssh -i p2pstorage.pem ec2-user@172.31.16.236 "sh -c 'cd node; nohup ./startServer.sh 2 2 c80-c5-2xlarge 172.31.16.236 59001 0 2 c71-c5-4xlarge 172.31.28.114 59001 &gt; /dev/null 2&gt;&amp;1 &amp;'"</v>
      </c>
    </row>
    <row r="93" spans="2:2" x14ac:dyDescent="0.25">
      <c r="B93" s="3" t="s">
        <v>145</v>
      </c>
    </row>
    <row r="94" spans="2:2" x14ac:dyDescent="0.25">
      <c r="B94" t="str">
        <f>B$2&amp;info!E86&amp;" "&amp;CHAR(34)&amp;B$3&amp;CHAR(39)&amp;B$4&amp;" 2 2 "&amp;info!D86&amp;" "&amp;info!E86&amp;" "&amp;B$6&amp;" "&amp;B$7&amp;" "&amp;C$7&amp;" "&amp;info!F86&amp;B$5&amp;CHAR(39)&amp;CHAR(34)</f>
        <v>ssh -i p2pstorage.pem ec2-user@172.31.29.142 "sh -c 'cd node; nohup ./startServer.sh 2 2 c81-c5-4xlarge 172.31.29.142 59001 0 2 c71-c5-4xlarge 172.31.28.114 59001 &gt; /dev/null 2&gt;&amp;1 &amp;'"</v>
      </c>
    </row>
    <row r="95" spans="2:2" x14ac:dyDescent="0.25">
      <c r="B95" t="str">
        <f>B$2&amp;info!E87&amp;" "&amp;CHAR(34)&amp;B$3&amp;CHAR(39)&amp;B$4&amp;" 2 2 "&amp;info!D87&amp;" "&amp;info!E87&amp;" "&amp;B$6&amp;" "&amp;B$7&amp;" "&amp;C$7&amp;" "&amp;info!F87&amp;B$5&amp;CHAR(39)&amp;CHAR(34)</f>
        <v>ssh -i p2pstorage.pem ec2-user@172.31.20.77 "sh -c 'cd node; nohup ./startServer.sh 2 2 c82-t2-small 172.31.20.77 59001 0 2 c81-c5-4xlarge 172.31.29.142 59001 &gt; /dev/null 2&gt;&amp;1 &amp;'"</v>
      </c>
    </row>
    <row r="96" spans="2:2" x14ac:dyDescent="0.25">
      <c r="B96" t="str">
        <f>B$2&amp;info!E88&amp;" "&amp;CHAR(34)&amp;B$3&amp;CHAR(39)&amp;B$4&amp;" 2 2 "&amp;info!D88&amp;" "&amp;info!E88&amp;" "&amp;B$6&amp;" "&amp;B$7&amp;" "&amp;C$7&amp;" "&amp;info!F88&amp;B$5&amp;CHAR(39)&amp;CHAR(34)</f>
        <v>ssh -i p2pstorage.pem ec2-user@172.31.20.25 "sh -c 'cd node; nohup ./startServer.sh 2 2 c83-t2-small 172.31.20.25 59001 0 2 c81-c5-4xlarge 172.31.29.142 59001 &gt; /dev/null 2&gt;&amp;1 &amp;'"</v>
      </c>
    </row>
    <row r="97" spans="2:2" x14ac:dyDescent="0.25">
      <c r="B97" t="str">
        <f>B$2&amp;info!E89&amp;" "&amp;CHAR(34)&amp;B$3&amp;CHAR(39)&amp;B$4&amp;" 2 2 "&amp;info!D89&amp;" "&amp;info!E89&amp;" "&amp;B$6&amp;" "&amp;B$7&amp;" "&amp;C$7&amp;" "&amp;info!F89&amp;B$5&amp;CHAR(39)&amp;CHAR(34)</f>
        <v>ssh -i p2pstorage.pem ec2-user@172.31.19.239 "sh -c 'cd node; nohup ./startServer.sh 2 2 c84-t2-small 172.31.19.239 59001 0 2 c81-c5-4xlarge 172.31.29.142 59001 &gt; /dev/null 2&gt;&amp;1 &amp;'"</v>
      </c>
    </row>
    <row r="98" spans="2:2" x14ac:dyDescent="0.25">
      <c r="B98" t="str">
        <f>B$2&amp;info!E90&amp;" "&amp;CHAR(34)&amp;B$3&amp;CHAR(39)&amp;B$4&amp;" 2 2 "&amp;info!D90&amp;" "&amp;info!E90&amp;" "&amp;B$6&amp;" "&amp;B$7&amp;" "&amp;C$7&amp;" "&amp;info!F90&amp;B$5&amp;CHAR(39)&amp;CHAR(34)</f>
        <v>ssh -i p2pstorage.pem ec2-user@172.31.23.251 "sh -c 'cd node; nohup ./startServer.sh 2 2 c85-t2-medium 172.31.23.251 59001 0 2 c81-c5-4xlarge 172.31.29.142 59001 &gt; /dev/null 2&gt;&amp;1 &amp;'"</v>
      </c>
    </row>
    <row r="99" spans="2:2" x14ac:dyDescent="0.25">
      <c r="B99" t="str">
        <f>B$2&amp;info!E91&amp;" "&amp;CHAR(34)&amp;B$3&amp;CHAR(39)&amp;B$4&amp;" 2 2 "&amp;info!D91&amp;" "&amp;info!E91&amp;" "&amp;B$6&amp;" "&amp;B$7&amp;" "&amp;C$7&amp;" "&amp;info!F91&amp;B$5&amp;CHAR(39)&amp;CHAR(34)</f>
        <v>ssh -i p2pstorage.pem ec2-user@172.31.16.43 "sh -c 'cd node; nohup ./startServer.sh 2 2 c86-t2-medium 172.31.16.43 59001 0 2 c81-c5-4xlarge 172.31.29.142 59001 &gt; /dev/null 2&gt;&amp;1 &amp;'"</v>
      </c>
    </row>
    <row r="100" spans="2:2" x14ac:dyDescent="0.25">
      <c r="B100" t="str">
        <f>B$2&amp;info!E92&amp;" "&amp;CHAR(34)&amp;B$3&amp;CHAR(39)&amp;B$4&amp;" 2 2 "&amp;info!D92&amp;" "&amp;info!E92&amp;" "&amp;B$6&amp;" "&amp;B$7&amp;" "&amp;C$7&amp;" "&amp;info!F92&amp;B$5&amp;CHAR(39)&amp;CHAR(34)</f>
        <v>ssh -i p2pstorage.pem ec2-user@172.31.21.110 "sh -c 'cd node; nohup ./startServer.sh 2 2 c87-t2-medium 172.31.21.110 59001 0 2 c81-c5-4xlarge 172.31.29.142 59001 &gt; /dev/null 2&gt;&amp;1 &amp;'"</v>
      </c>
    </row>
    <row r="101" spans="2:2" x14ac:dyDescent="0.25">
      <c r="B101" t="str">
        <f>B$2&amp;info!E93&amp;" "&amp;CHAR(34)&amp;B$3&amp;CHAR(39)&amp;B$4&amp;" 2 2 "&amp;info!D93&amp;" "&amp;info!E93&amp;" "&amp;B$6&amp;" "&amp;B$7&amp;" "&amp;C$7&amp;" "&amp;info!F93&amp;B$5&amp;CHAR(39)&amp;CHAR(34)</f>
        <v>ssh -i p2pstorage.pem ec2-user@172.31.24.55 "sh -c 'cd node; nohup ./startServer.sh 2 2 c88-c5-xlarge 172.31.24.55 59001 0 2 c81-c5-4xlarge 172.31.29.142 59001 &gt; /dev/null 2&gt;&amp;1 &amp;'"</v>
      </c>
    </row>
    <row r="102" spans="2:2" x14ac:dyDescent="0.25">
      <c r="B102" t="str">
        <f>B$2&amp;info!E94&amp;" "&amp;CHAR(34)&amp;B$3&amp;CHAR(39)&amp;B$4&amp;" 2 2 "&amp;info!D94&amp;" "&amp;info!E94&amp;" "&amp;B$6&amp;" "&amp;B$7&amp;" "&amp;C$7&amp;" "&amp;info!F94&amp;B$5&amp;CHAR(39)&amp;CHAR(34)</f>
        <v>ssh -i p2pstorage.pem ec2-user@172.31.31.148 "sh -c 'cd node; nohup ./startServer.sh 2 2 c89-c5-xlarge 172.31.31.148 59001 0 2 c81-c5-4xlarge 172.31.29.142 59001 &gt; /dev/null 2&gt;&amp;1 &amp;'"</v>
      </c>
    </row>
    <row r="103" spans="2:2" x14ac:dyDescent="0.25">
      <c r="B103" t="str">
        <f>B$2&amp;info!E95&amp;" "&amp;CHAR(34)&amp;B$3&amp;CHAR(39)&amp;B$4&amp;" 2 2 "&amp;info!D95&amp;" "&amp;info!E95&amp;" "&amp;B$6&amp;" "&amp;B$7&amp;" "&amp;C$7&amp;" "&amp;info!F95&amp;B$5&amp;CHAR(39)&amp;CHAR(34)</f>
        <v>ssh -i p2pstorage.pem ec2-user@172.31.25.125 "sh -c 'cd node; nohup ./startServer.sh 2 2 c90-c5-2xlarge 172.31.25.125 59001 0 2 c81-c5-4xlarge 172.31.29.142 59001 &gt; /dev/null 2&gt;&amp;1 &amp;'"</v>
      </c>
    </row>
    <row r="104" spans="2:2" x14ac:dyDescent="0.25">
      <c r="B104" t="str">
        <f>B$2&amp;info!E96&amp;" "&amp;CHAR(34)&amp;B$3&amp;CHAR(39)&amp;B$4&amp;" 2 2 "&amp;info!D96&amp;" "&amp;info!E96&amp;" "&amp;B$6&amp;" "&amp;B$7&amp;" "&amp;C$7&amp;" "&amp;info!F96&amp;B$5&amp;CHAR(39)&amp;CHAR(34)</f>
        <v>ssh -i p2pstorage.pem ec2-user@172.31.22.253 "sh -c 'cd node; nohup ./startServer.sh 2 2 c91-c5-4xlarge 172.31.22.253 59001 0 2 c81-c5-4xlarge 172.31.29.142 59001 &gt; /dev/null 2&gt;&amp;1 &amp;'"</v>
      </c>
    </row>
    <row r="105" spans="2:2" x14ac:dyDescent="0.25">
      <c r="B105" t="str">
        <f>B$2&amp;info!E97&amp;" "&amp;CHAR(34)&amp;B$3&amp;CHAR(39)&amp;B$4&amp;" 2 2 "&amp;info!D97&amp;" "&amp;info!E97&amp;" "&amp;B$6&amp;" "&amp;B$7&amp;" "&amp;C$7&amp;" "&amp;info!F97&amp;B$5&amp;CHAR(39)&amp;CHAR(34)</f>
        <v>ssh -i p2pstorage.pem ec2-user@172.31.20.255 "sh -c 'cd node; nohup ./startServer.sh 2 2 c92-t2-small 172.31.20.255 59001 0 2 c91-c5-4xlarge 172.31.22.253 59001 &gt; /dev/null 2&gt;&amp;1 &amp;'"</v>
      </c>
    </row>
    <row r="106" spans="2:2" x14ac:dyDescent="0.25">
      <c r="B106" t="str">
        <f>B$2&amp;info!E98&amp;" "&amp;CHAR(34)&amp;B$3&amp;CHAR(39)&amp;B$4&amp;" 2 2 "&amp;info!D98&amp;" "&amp;info!E98&amp;" "&amp;B$6&amp;" "&amp;B$7&amp;" "&amp;C$7&amp;" "&amp;info!F98&amp;B$5&amp;CHAR(39)&amp;CHAR(34)</f>
        <v>ssh -i p2pstorage.pem ec2-user@172.31.18.234 "sh -c 'cd node; nohup ./startServer.sh 2 2 c93-t2-small 172.31.18.234 59001 0 2 c91-c5-4xlarge 172.31.22.253 59001 &gt; /dev/null 2&gt;&amp;1 &amp;'"</v>
      </c>
    </row>
    <row r="107" spans="2:2" x14ac:dyDescent="0.25">
      <c r="B107" t="str">
        <f>B$2&amp;info!E99&amp;" "&amp;CHAR(34)&amp;B$3&amp;CHAR(39)&amp;B$4&amp;" 2 2 "&amp;info!D99&amp;" "&amp;info!E99&amp;" "&amp;B$6&amp;" "&amp;B$7&amp;" "&amp;C$7&amp;" "&amp;info!F99&amp;B$5&amp;CHAR(39)&amp;CHAR(34)</f>
        <v>ssh -i p2pstorage.pem ec2-user@172.31.29.186 "sh -c 'cd node; nohup ./startServer.sh 2 2 c94-t2-small 172.31.29.186 59001 0 2 c91-c5-4xlarge 172.31.22.253 59001 &gt; /dev/null 2&gt;&amp;1 &amp;'"</v>
      </c>
    </row>
    <row r="108" spans="2:2" x14ac:dyDescent="0.25">
      <c r="B108" t="str">
        <f>B$2&amp;info!E100&amp;" "&amp;CHAR(34)&amp;B$3&amp;CHAR(39)&amp;B$4&amp;" 2 2 "&amp;info!D100&amp;" "&amp;info!E100&amp;" "&amp;B$6&amp;" "&amp;B$7&amp;" "&amp;C$7&amp;" "&amp;info!F100&amp;B$5&amp;CHAR(39)&amp;CHAR(34)</f>
        <v>ssh -i p2pstorage.pem ec2-user@172.31.31.15 "sh -c 'cd node; nohup ./startServer.sh 2 2 c95-t2-medium 172.31.31.15 59001 0 2 c91-c5-4xlarge 172.31.22.253 59001 &gt; /dev/null 2&gt;&amp;1 &amp;'"</v>
      </c>
    </row>
    <row r="109" spans="2:2" x14ac:dyDescent="0.25">
      <c r="B109" t="str">
        <f>B$2&amp;info!E101&amp;" "&amp;CHAR(34)&amp;B$3&amp;CHAR(39)&amp;B$4&amp;" 2 2 "&amp;info!D101&amp;" "&amp;info!E101&amp;" "&amp;B$6&amp;" "&amp;B$7&amp;" "&amp;C$7&amp;" "&amp;info!F101&amp;B$5&amp;CHAR(39)&amp;CHAR(34)</f>
        <v>ssh -i p2pstorage.pem ec2-user@172.31.25.144 "sh -c 'cd node; nohup ./startServer.sh 2 2 c96-t2-medium 172.31.25.144 59001 0 2 c91-c5-4xlarge 172.31.22.253 59001 &gt; /dev/null 2&gt;&amp;1 &amp;'"</v>
      </c>
    </row>
    <row r="110" spans="2:2" x14ac:dyDescent="0.25">
      <c r="B110" t="str">
        <f>B$2&amp;info!E102&amp;" "&amp;CHAR(34)&amp;B$3&amp;CHAR(39)&amp;B$4&amp;" 2 2 "&amp;info!D102&amp;" "&amp;info!E102&amp;" "&amp;B$6&amp;" "&amp;B$7&amp;" "&amp;C$7&amp;" "&amp;info!F102&amp;B$5&amp;CHAR(39)&amp;CHAR(34)</f>
        <v>ssh -i p2pstorage.pem ec2-user@172.31.20.104 "sh -c 'cd node; nohup ./startServer.sh 2 2 c97-t2-medium 172.31.20.104 59001 0 2 c91-c5-4xlarge 172.31.22.253 59001 &gt; /dev/null 2&gt;&amp;1 &amp;'"</v>
      </c>
    </row>
    <row r="111" spans="2:2" x14ac:dyDescent="0.25">
      <c r="B111" t="str">
        <f>B$2&amp;info!E103&amp;" "&amp;CHAR(34)&amp;B$3&amp;CHAR(39)&amp;B$4&amp;" 2 2 "&amp;info!D103&amp;" "&amp;info!E103&amp;" "&amp;B$6&amp;" "&amp;B$7&amp;" "&amp;C$7&amp;" "&amp;info!F103&amp;B$5&amp;CHAR(39)&amp;CHAR(34)</f>
        <v>ssh -i p2pstorage.pem ec2-user@172.31.25.100 "sh -c 'cd node; nohup ./startServer.sh 2 2 c98-c5-xlarge 172.31.25.100 59001 0 2 c91-c5-4xlarge 172.31.22.253 59001 &gt; /dev/null 2&gt;&amp;1 &amp;'"</v>
      </c>
    </row>
    <row r="112" spans="2:2" x14ac:dyDescent="0.25">
      <c r="B112" t="str">
        <f>B$2&amp;info!E104&amp;" "&amp;CHAR(34)&amp;B$3&amp;CHAR(39)&amp;B$4&amp;" 2 2 "&amp;info!D104&amp;" "&amp;info!E104&amp;" "&amp;B$6&amp;" "&amp;B$7&amp;" "&amp;C$7&amp;" "&amp;info!F104&amp;B$5&amp;CHAR(39)&amp;CHAR(34)</f>
        <v>ssh -i p2pstorage.pem ec2-user@172.31.25.167 "sh -c 'cd node; nohup ./startServer.sh 2 2 c99-c5-xlarge 172.31.25.167 59001 0 2 c91-c5-4xlarge 172.31.22.253 59001 &gt; /dev/null 2&gt;&amp;1 &amp;'"</v>
      </c>
    </row>
    <row r="113" spans="2:2" x14ac:dyDescent="0.25">
      <c r="B113" t="str">
        <f>B$2&amp;info!E105&amp;" "&amp;CHAR(34)&amp;B$3&amp;CHAR(39)&amp;B$4&amp;" 2 2 "&amp;info!D105&amp;" "&amp;info!E105&amp;" "&amp;B$6&amp;" "&amp;B$7&amp;" "&amp;C$7&amp;" "&amp;info!F105&amp;B$5&amp;CHAR(39)&amp;CHAR(34)</f>
        <v>ssh -i p2pstorage.pem ec2-user@172.31.28.55 "sh -c 'cd node; nohup ./startServer.sh 2 2 c100-c5-2xlarge 172.31.28.55 59001 0 2 c91-c5-4xlarge 172.31.22.253 59001 &gt; /dev/null 2&gt;&amp;1 &amp;'"</v>
      </c>
    </row>
    <row r="114" spans="2:2" x14ac:dyDescent="0.25">
      <c r="B114" s="3" t="s">
        <v>145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6C9C-4F48-4CD4-99BA-7C2DD2F531B6}">
  <dimension ref="B2:C114"/>
  <sheetViews>
    <sheetView topLeftCell="A100" workbookViewId="0">
      <selection activeCell="B9" sqref="B9:B114"/>
    </sheetView>
  </sheetViews>
  <sheetFormatPr defaultRowHeight="15" x14ac:dyDescent="0.25"/>
  <sheetData>
    <row r="2" spans="2:3" x14ac:dyDescent="0.25">
      <c r="B2" t="s">
        <v>34</v>
      </c>
    </row>
    <row r="3" spans="2:3" x14ac:dyDescent="0.25">
      <c r="B3" t="s">
        <v>35</v>
      </c>
    </row>
    <row r="4" spans="2:3" x14ac:dyDescent="0.25">
      <c r="B4" t="s">
        <v>153</v>
      </c>
    </row>
    <row r="5" spans="2:3" x14ac:dyDescent="0.25">
      <c r="B5" t="s">
        <v>37</v>
      </c>
    </row>
    <row r="6" spans="2:3" x14ac:dyDescent="0.25">
      <c r="B6">
        <v>59001</v>
      </c>
    </row>
    <row r="7" spans="2:3" x14ac:dyDescent="0.25">
      <c r="B7">
        <v>0</v>
      </c>
      <c r="C7">
        <v>2</v>
      </c>
    </row>
    <row r="9" spans="2:3" x14ac:dyDescent="0.25">
      <c r="B9" t="str">
        <f>B$2&amp;info!E2&amp;" "&amp;CHAR(34)&amp;B$3&amp;CHAR(39)&amp;B$4&amp;" 3 1 "&amp;info!D2&amp;" "&amp;info!E2&amp;" "&amp;B$6&amp;" "&amp;B$7&amp;" "&amp;C$7&amp;" "&amp;info!F2&amp;B$5&amp;CHAR(39)&amp;CHAR(34)</f>
        <v>ssh -i p2pstorage.pem ec2-user@172.31.16.10 "sh -c 'cd node; nohup ./startServer.sh 3 1 c01-c5-4xlarge 172.31.16.10 59001 0 2 0 0 0 &gt; /dev/null 2&gt;&amp;1 &amp;'"</v>
      </c>
    </row>
    <row r="10" spans="2:3" x14ac:dyDescent="0.25">
      <c r="B10" s="3" t="s">
        <v>144</v>
      </c>
    </row>
    <row r="11" spans="2:3" x14ac:dyDescent="0.25">
      <c r="B11" t="str">
        <f>B$2&amp;info!E3&amp;" "&amp;CHAR(34)&amp;B$3&amp;CHAR(39)&amp;B$4&amp;" 3 2 "&amp;info!D3&amp;" "&amp;info!E3&amp;" "&amp;B$6&amp;" "&amp;B$7&amp;" "&amp;C$7&amp;" "&amp;info!F3&amp;B$5&amp;CHAR(39)&amp;CHAR(34)</f>
        <v>ssh -i p2pstorage.pem ec2-user@172.31.27.28 "sh -c 'cd node; nohup ./startServer.sh 3 2 c02-t2-small 172.31.27.28 59001 0 2 c01-c5-4xlarge 172.31.16.10 59001 &gt; /dev/null 2&gt;&amp;1 &amp;'"</v>
      </c>
    </row>
    <row r="12" spans="2:3" x14ac:dyDescent="0.25">
      <c r="B12" t="str">
        <f>B$2&amp;info!E4&amp;" "&amp;CHAR(34)&amp;B$3&amp;CHAR(39)&amp;B$4&amp;" 3 2 "&amp;info!D4&amp;" "&amp;info!E4&amp;" "&amp;B$6&amp;" "&amp;B$7&amp;" "&amp;C$7&amp;" "&amp;info!F4&amp;B$5&amp;CHAR(39)&amp;CHAR(34)</f>
        <v>ssh -i p2pstorage.pem ec2-user@172.31.24.48 "sh -c 'cd node; nohup ./startServer.sh 3 2 c03-t2-small 172.31.24.48 59001 0 2 c01-c5-4xlarge 172.31.16.10 59001 &gt; /dev/null 2&gt;&amp;1 &amp;'"</v>
      </c>
    </row>
    <row r="13" spans="2:3" x14ac:dyDescent="0.25">
      <c r="B13" t="str">
        <f>B$2&amp;info!E5&amp;" "&amp;CHAR(34)&amp;B$3&amp;CHAR(39)&amp;B$4&amp;" 3 2 "&amp;info!D5&amp;" "&amp;info!E5&amp;" "&amp;B$6&amp;" "&amp;B$7&amp;" "&amp;C$7&amp;" "&amp;info!F5&amp;B$5&amp;CHAR(39)&amp;CHAR(34)</f>
        <v>ssh -i p2pstorage.pem ec2-user@172.31.19.20 "sh -c 'cd node; nohup ./startServer.sh 3 2 c04-t2-small 172.31.19.20 59001 0 2 c01-c5-4xlarge 172.31.16.10 59001 &gt; /dev/null 2&gt;&amp;1 &amp;'"</v>
      </c>
    </row>
    <row r="14" spans="2:3" x14ac:dyDescent="0.25">
      <c r="B14" t="str">
        <f>B$2&amp;info!E6&amp;" "&amp;CHAR(34)&amp;B$3&amp;CHAR(39)&amp;B$4&amp;" 3 2 "&amp;info!D6&amp;" "&amp;info!E6&amp;" "&amp;B$6&amp;" "&amp;B$7&amp;" "&amp;C$7&amp;" "&amp;info!F6&amp;B$5&amp;CHAR(39)&amp;CHAR(34)</f>
        <v>ssh -i p2pstorage.pem ec2-user@172.31.21.44 "sh -c 'cd node; nohup ./startServer.sh 3 2 c05-t2-medium 172.31.21.44 59001 0 2 c01-c5-4xlarge 172.31.16.10 59001 &gt; /dev/null 2&gt;&amp;1 &amp;'"</v>
      </c>
    </row>
    <row r="15" spans="2:3" x14ac:dyDescent="0.25">
      <c r="B15" t="str">
        <f>B$2&amp;info!E7&amp;" "&amp;CHAR(34)&amp;B$3&amp;CHAR(39)&amp;B$4&amp;" 3 2 "&amp;info!D7&amp;" "&amp;info!E7&amp;" "&amp;B$6&amp;" "&amp;B$7&amp;" "&amp;C$7&amp;" "&amp;info!F7&amp;B$5&amp;CHAR(39)&amp;CHAR(34)</f>
        <v>ssh -i p2pstorage.pem ec2-user@172.31.42.48 "sh -c 'cd node; nohup ./startServer.sh 3 2 c06-t2-medium 172.31.42.48 59001 0 2 c01-c5-4xlarge 172.31.16.10 59001 &gt; /dev/null 2&gt;&amp;1 &amp;'"</v>
      </c>
    </row>
    <row r="16" spans="2:3" x14ac:dyDescent="0.25">
      <c r="B16" t="str">
        <f>B$2&amp;info!E8&amp;" "&amp;CHAR(34)&amp;B$3&amp;CHAR(39)&amp;B$4&amp;" 3 2 "&amp;info!D8&amp;" "&amp;info!E8&amp;" "&amp;B$6&amp;" "&amp;B$7&amp;" "&amp;C$7&amp;" "&amp;info!F8&amp;B$5&amp;CHAR(39)&amp;CHAR(34)</f>
        <v>ssh -i p2pstorage.pem ec2-user@172.31.6.148 "sh -c 'cd node; nohup ./startServer.sh 3 2 c07-t2-medium 172.31.6.148 59001 0 2 c01-c5-4xlarge 172.31.16.10 59001 &gt; /dev/null 2&gt;&amp;1 &amp;'"</v>
      </c>
    </row>
    <row r="17" spans="2:2" x14ac:dyDescent="0.25">
      <c r="B17" t="str">
        <f>B$2&amp;info!E9&amp;" "&amp;CHAR(34)&amp;B$3&amp;CHAR(39)&amp;B$4&amp;" 3 2 "&amp;info!D9&amp;" "&amp;info!E9&amp;" "&amp;B$6&amp;" "&amp;B$7&amp;" "&amp;C$7&amp;" "&amp;info!F9&amp;B$5&amp;CHAR(39)&amp;CHAR(34)</f>
        <v>ssh -i p2pstorage.pem ec2-user@172.31.21.20 "sh -c 'cd node; nohup ./startServer.sh 3 2 c08-c5-xlarge 172.31.21.20 59001 0 2 c01-c5-4xlarge 172.31.16.10 59001 &gt; /dev/null 2&gt;&amp;1 &amp;'"</v>
      </c>
    </row>
    <row r="18" spans="2:2" x14ac:dyDescent="0.25">
      <c r="B18" t="str">
        <f>B$2&amp;info!E10&amp;" "&amp;CHAR(34)&amp;B$3&amp;CHAR(39)&amp;B$4&amp;" 3 2 "&amp;info!D10&amp;" "&amp;info!E10&amp;" "&amp;B$6&amp;" "&amp;B$7&amp;" "&amp;C$7&amp;" "&amp;info!F10&amp;B$5&amp;CHAR(39)&amp;CHAR(34)</f>
        <v>ssh -i p2pstorage.pem ec2-user@172.31.29.51 "sh -c 'cd node; nohup ./startServer.sh 3 2 c09-c5-xlarge 172.31.29.51 59001 0 2 c01-c5-4xlarge 172.31.16.10 59001 &gt; /dev/null 2&gt;&amp;1 &amp;'"</v>
      </c>
    </row>
    <row r="19" spans="2:2" x14ac:dyDescent="0.25">
      <c r="B19" t="str">
        <f>B$2&amp;info!E11&amp;" "&amp;CHAR(34)&amp;B$3&amp;CHAR(39)&amp;B$4&amp;" 3 2 "&amp;info!D11&amp;" "&amp;info!E11&amp;" "&amp;B$6&amp;" "&amp;B$7&amp;" "&amp;C$7&amp;" "&amp;info!F11&amp;B$5&amp;CHAR(39)&amp;CHAR(34)</f>
        <v>ssh -i p2pstorage.pem ec2-user@172.31.27.113 "sh -c 'cd node; nohup ./startServer.sh 3 2 c10-c5-2xlarge 172.31.27.113 59001 0 2 c01-c5-4xlarge 172.31.16.10 59001 &gt; /dev/null 2&gt;&amp;1 &amp;'"</v>
      </c>
    </row>
    <row r="20" spans="2:2" x14ac:dyDescent="0.25">
      <c r="B20" t="str">
        <f>B$2&amp;info!E12&amp;" "&amp;CHAR(34)&amp;B$3&amp;CHAR(39)&amp;B$4&amp;" 3 2 "&amp;info!D12&amp;" "&amp;info!E12&amp;" "&amp;B$6&amp;" "&amp;B$7&amp;" "&amp;C$7&amp;" "&amp;info!F12&amp;B$5&amp;CHAR(39)&amp;CHAR(34)</f>
        <v>ssh -i p2pstorage.pem ec2-user@172.31.31.235 "sh -c 'cd node; nohup ./startServer.sh 3 2 c11-c5-4xlarge 172.31.31.235 59001 0 2 c01-c5-4xlarge 172.31.16.10 59001 &gt; /dev/null 2&gt;&amp;1 &amp;'"</v>
      </c>
    </row>
    <row r="21" spans="2:2" x14ac:dyDescent="0.25">
      <c r="B21" t="str">
        <f>B$2&amp;info!E13&amp;" "&amp;CHAR(34)&amp;B$3&amp;CHAR(39)&amp;B$4&amp;" 3 2 "&amp;info!D13&amp;" "&amp;info!E13&amp;" "&amp;B$6&amp;" "&amp;B$7&amp;" "&amp;C$7&amp;" "&amp;info!F13&amp;B$5&amp;CHAR(39)&amp;CHAR(34)</f>
        <v>ssh -i p2pstorage.pem ec2-user@172.31.23.24 "sh -c 'cd node; nohup ./startServer.sh 3 2 c12-t2-small 172.31.23.24 59001 0 2 c11-c5-4xlarge 172.31.21.44 59001 &gt; /dev/null 2&gt;&amp;1 &amp;'"</v>
      </c>
    </row>
    <row r="22" spans="2:2" x14ac:dyDescent="0.25">
      <c r="B22" t="str">
        <f>B$2&amp;info!E14&amp;" "&amp;CHAR(34)&amp;B$3&amp;CHAR(39)&amp;B$4&amp;" 3 2 "&amp;info!D14&amp;" "&amp;info!E14&amp;" "&amp;B$6&amp;" "&amp;B$7&amp;" "&amp;C$7&amp;" "&amp;info!F14&amp;B$5&amp;CHAR(39)&amp;CHAR(34)</f>
        <v>ssh -i p2pstorage.pem ec2-user@172.31.28.220 "sh -c 'cd node; nohup ./startServer.sh 3 2 c13-t2-small 172.31.28.220 59001 0 2 c11-c5-4xlarge 172.31.21.44 59001 &gt; /dev/null 2&gt;&amp;1 &amp;'"</v>
      </c>
    </row>
    <row r="23" spans="2:2" x14ac:dyDescent="0.25">
      <c r="B23" t="str">
        <f>B$2&amp;info!E15&amp;" "&amp;CHAR(34)&amp;B$3&amp;CHAR(39)&amp;B$4&amp;" 3 2 "&amp;info!D15&amp;" "&amp;info!E15&amp;" "&amp;B$6&amp;" "&amp;B$7&amp;" "&amp;C$7&amp;" "&amp;info!F15&amp;B$5&amp;CHAR(39)&amp;CHAR(34)</f>
        <v>ssh -i p2pstorage.pem ec2-user@172.31.28.38 "sh -c 'cd node; nohup ./startServer.sh 3 2 c14-t2-small 172.31.28.38 59001 0 2 c11-c5-4xlarge 172.31.21.44 59001 &gt; /dev/null 2&gt;&amp;1 &amp;'"</v>
      </c>
    </row>
    <row r="24" spans="2:2" x14ac:dyDescent="0.25">
      <c r="B24" t="str">
        <f>B$2&amp;info!E16&amp;" "&amp;CHAR(34)&amp;B$3&amp;CHAR(39)&amp;B$4&amp;" 3 2 "&amp;info!D16&amp;" "&amp;info!E16&amp;" "&amp;B$6&amp;" "&amp;B$7&amp;" "&amp;C$7&amp;" "&amp;info!F16&amp;B$5&amp;CHAR(39)&amp;CHAR(34)</f>
        <v>ssh -i p2pstorage.pem ec2-user@172.31.31.7 "sh -c 'cd node; nohup ./startServer.sh 3 2 c15-t2-medium 172.31.31.7 59001 0 2 c11-c5-4xlarge 172.31.21.44 59001 &gt; /dev/null 2&gt;&amp;1 &amp;'"</v>
      </c>
    </row>
    <row r="25" spans="2:2" x14ac:dyDescent="0.25">
      <c r="B25" t="str">
        <f>B$2&amp;info!E17&amp;" "&amp;CHAR(34)&amp;B$3&amp;CHAR(39)&amp;B$4&amp;" 3 2 "&amp;info!D17&amp;" "&amp;info!E17&amp;" "&amp;B$6&amp;" "&amp;B$7&amp;" "&amp;C$7&amp;" "&amp;info!F17&amp;B$5&amp;CHAR(39)&amp;CHAR(34)</f>
        <v>ssh -i p2pstorage.pem ec2-user@172.31.19.38 "sh -c 'cd node; nohup ./startServer.sh 3 2 c16-t2-medium 172.31.19.38 59001 0 2 c11-c5-4xlarge 172.31.21.44 59001 &gt; /dev/null 2&gt;&amp;1 &amp;'"</v>
      </c>
    </row>
    <row r="26" spans="2:2" x14ac:dyDescent="0.25">
      <c r="B26" t="str">
        <f>B$2&amp;info!E18&amp;" "&amp;CHAR(34)&amp;B$3&amp;CHAR(39)&amp;B$4&amp;" 3 2 "&amp;info!D18&amp;" "&amp;info!E18&amp;" "&amp;B$6&amp;" "&amp;B$7&amp;" "&amp;C$7&amp;" "&amp;info!F18&amp;B$5&amp;CHAR(39)&amp;CHAR(34)</f>
        <v>ssh -i p2pstorage.pem ec2-user@172.31.19.160 "sh -c 'cd node; nohup ./startServer.sh 3 2 c17-t2-medium 172.31.19.160 59001 0 2 c11-c5-4xlarge 172.31.21.44 59001 &gt; /dev/null 2&gt;&amp;1 &amp;'"</v>
      </c>
    </row>
    <row r="27" spans="2:2" x14ac:dyDescent="0.25">
      <c r="B27" t="str">
        <f>B$2&amp;info!E19&amp;" "&amp;CHAR(34)&amp;B$3&amp;CHAR(39)&amp;B$4&amp;" 3 2 "&amp;info!D19&amp;" "&amp;info!E19&amp;" "&amp;B$6&amp;" "&amp;B$7&amp;" "&amp;C$7&amp;" "&amp;info!F19&amp;B$5&amp;CHAR(39)&amp;CHAR(34)</f>
        <v>ssh -i p2pstorage.pem ec2-user@172.31.16.91 "sh -c 'cd node; nohup ./startServer.sh 3 2 c18-c5-xlarge 172.31.16.91 59001 0 2 c11-c5-4xlarge 172.31.21.44 59001 &gt; /dev/null 2&gt;&amp;1 &amp;'"</v>
      </c>
    </row>
    <row r="28" spans="2:2" x14ac:dyDescent="0.25">
      <c r="B28" t="str">
        <f>B$2&amp;info!E20&amp;" "&amp;CHAR(34)&amp;B$3&amp;CHAR(39)&amp;B$4&amp;" 3 2 "&amp;info!D20&amp;" "&amp;info!E20&amp;" "&amp;B$6&amp;" "&amp;B$7&amp;" "&amp;C$7&amp;" "&amp;info!F20&amp;B$5&amp;CHAR(39)&amp;CHAR(34)</f>
        <v>ssh -i p2pstorage.pem ec2-user@172.31.22.207 "sh -c 'cd node; nohup ./startServer.sh 3 2 c19-c5-xlarge 172.31.22.207 59001 0 2 c11-c5-4xlarge 172.31.21.44 59001 &gt; /dev/null 2&gt;&amp;1 &amp;'"</v>
      </c>
    </row>
    <row r="29" spans="2:2" x14ac:dyDescent="0.25">
      <c r="B29" t="str">
        <f>B$2&amp;info!E21&amp;" "&amp;CHAR(34)&amp;B$3&amp;CHAR(39)&amp;B$4&amp;" 3 2 "&amp;info!D21&amp;" "&amp;info!E21&amp;" "&amp;B$6&amp;" "&amp;B$7&amp;" "&amp;C$7&amp;" "&amp;info!F21&amp;B$5&amp;CHAR(39)&amp;CHAR(34)</f>
        <v>ssh -i p2pstorage.pem ec2-user@172.31.25.39 "sh -c 'cd node; nohup ./startServer.sh 3 2 c20-c5-2xlarge 172.31.25.39 59001 0 2 c11-c5-4xlarge 172.31.21.44 59001 &gt; /dev/null 2&gt;&amp;1 &amp;'"</v>
      </c>
    </row>
    <row r="30" spans="2:2" x14ac:dyDescent="0.25">
      <c r="B30" s="3" t="s">
        <v>145</v>
      </c>
    </row>
    <row r="31" spans="2:2" x14ac:dyDescent="0.25">
      <c r="B31" t="str">
        <f>B$2&amp;info!E23&amp;" "&amp;CHAR(34)&amp;B$3&amp;CHAR(39)&amp;B$4&amp;" 3 2 "&amp;info!D23&amp;" "&amp;info!E23&amp;" "&amp;B$6&amp;" "&amp;B$7&amp;" "&amp;C$7&amp;" "&amp;info!F23&amp;B$5&amp;CHAR(39)&amp;CHAR(34)</f>
        <v>ssh -i p2pstorage.pem ec2-user@172.31.18.213 "sh -c 'cd node; nohup ./startServer.sh 3 2 c21-c5-4xlarge 172.31.18.213 59001 0 2 c11-c5-4xlarge 172.31.21.44 59001 &gt; /dev/null 2&gt;&amp;1 &amp;'"</v>
      </c>
    </row>
    <row r="32" spans="2:2" x14ac:dyDescent="0.25">
      <c r="B32" t="str">
        <f>B$2&amp;info!E24&amp;" "&amp;CHAR(34)&amp;B$3&amp;CHAR(39)&amp;B$4&amp;" 3 2 "&amp;info!D24&amp;" "&amp;info!E24&amp;" "&amp;B$6&amp;" "&amp;B$7&amp;" "&amp;C$7&amp;" "&amp;info!F24&amp;B$5&amp;CHAR(39)&amp;CHAR(34)</f>
        <v>ssh -i p2pstorage.pem ec2-user@172.31.23.72 "sh -c 'cd node; nohup ./startServer.sh 3 2 c22-t2-small 172.31.23.72 59001 0 2 c21-c5-4xlarge 172.31.18.213 59001 &gt; /dev/null 2&gt;&amp;1 &amp;'"</v>
      </c>
    </row>
    <row r="33" spans="2:2" x14ac:dyDescent="0.25">
      <c r="B33" t="str">
        <f>B$2&amp;info!E25&amp;" "&amp;CHAR(34)&amp;B$3&amp;CHAR(39)&amp;B$4&amp;" 3 2 "&amp;info!D25&amp;" "&amp;info!E25&amp;" "&amp;B$6&amp;" "&amp;B$7&amp;" "&amp;C$7&amp;" "&amp;info!F25&amp;B$5&amp;CHAR(39)&amp;CHAR(34)</f>
        <v>ssh -i p2pstorage.pem ec2-user@172.31.31.24 "sh -c 'cd node; nohup ./startServer.sh 3 2 c23-t2-small 172.31.31.24 59001 0 2 c21-c5-4xlarge 172.31.18.213 59001 &gt; /dev/null 2&gt;&amp;1 &amp;'"</v>
      </c>
    </row>
    <row r="34" spans="2:2" x14ac:dyDescent="0.25">
      <c r="B34" t="str">
        <f>B$2&amp;info!E26&amp;" "&amp;CHAR(34)&amp;B$3&amp;CHAR(39)&amp;B$4&amp;" 3 2 "&amp;info!D26&amp;" "&amp;info!E26&amp;" "&amp;B$6&amp;" "&amp;B$7&amp;" "&amp;C$7&amp;" "&amp;info!F26&amp;B$5&amp;CHAR(39)&amp;CHAR(34)</f>
        <v>ssh -i p2pstorage.pem ec2-user@172.31.27.58 "sh -c 'cd node; nohup ./startServer.sh 3 2 c24-t2-small 172.31.27.58 59001 0 2 c21-c5-4xlarge 172.31.18.213 59001 &gt; /dev/null 2&gt;&amp;1 &amp;'"</v>
      </c>
    </row>
    <row r="35" spans="2:2" x14ac:dyDescent="0.25">
      <c r="B35" t="str">
        <f>B$2&amp;info!E27&amp;" "&amp;CHAR(34)&amp;B$3&amp;CHAR(39)&amp;B$4&amp;" 3 2 "&amp;info!D27&amp;" "&amp;info!E27&amp;" "&amp;B$6&amp;" "&amp;B$7&amp;" "&amp;C$7&amp;" "&amp;info!F27&amp;B$5&amp;CHAR(39)&amp;CHAR(34)</f>
        <v>ssh -i p2pstorage.pem ec2-user@172.31.17.169 "sh -c 'cd node; nohup ./startServer.sh 3 2 c25-t2-medium 172.31.17.169 59001 0 2 c21-c5-4xlarge 172.31.18.213 59001 &gt; /dev/null 2&gt;&amp;1 &amp;'"</v>
      </c>
    </row>
    <row r="36" spans="2:2" x14ac:dyDescent="0.25">
      <c r="B36" t="str">
        <f>B$2&amp;info!E28&amp;" "&amp;CHAR(34)&amp;B$3&amp;CHAR(39)&amp;B$4&amp;" 3 2 "&amp;info!D28&amp;" "&amp;info!E28&amp;" "&amp;B$6&amp;" "&amp;B$7&amp;" "&amp;C$7&amp;" "&amp;info!F28&amp;B$5&amp;CHAR(39)&amp;CHAR(34)</f>
        <v>ssh -i p2pstorage.pem ec2-user@172.31.28.12 "sh -c 'cd node; nohup ./startServer.sh 3 2 c26-t2-medium 172.31.28.12 59001 0 2 c21-c5-4xlarge 172.31.18.213 59001 &gt; /dev/null 2&gt;&amp;1 &amp;'"</v>
      </c>
    </row>
    <row r="37" spans="2:2" x14ac:dyDescent="0.25">
      <c r="B37" t="str">
        <f>B$2&amp;info!E29&amp;" "&amp;CHAR(34)&amp;B$3&amp;CHAR(39)&amp;B$4&amp;" 3 2 "&amp;info!D29&amp;" "&amp;info!E29&amp;" "&amp;B$6&amp;" "&amp;B$7&amp;" "&amp;C$7&amp;" "&amp;info!F29&amp;B$5&amp;CHAR(39)&amp;CHAR(34)</f>
        <v>ssh -i p2pstorage.pem ec2-user@172.31.20.85 "sh -c 'cd node; nohup ./startServer.sh 3 2 c27-t2-medium 172.31.20.85 59001 0 2 c21-c5-4xlarge 172.31.18.213 59001 &gt; /dev/null 2&gt;&amp;1 &amp;'"</v>
      </c>
    </row>
    <row r="38" spans="2:2" x14ac:dyDescent="0.25">
      <c r="B38" t="str">
        <f>B$2&amp;info!E30&amp;" "&amp;CHAR(34)&amp;B$3&amp;CHAR(39)&amp;B$4&amp;" 3 2 "&amp;info!D30&amp;" "&amp;info!E30&amp;" "&amp;B$6&amp;" "&amp;B$7&amp;" "&amp;C$7&amp;" "&amp;info!F30&amp;B$5&amp;CHAR(39)&amp;CHAR(34)</f>
        <v>ssh -i p2pstorage.pem ec2-user@172.31.24.7 "sh -c 'cd node; nohup ./startServer.sh 3 2 c28-c5-xlarge 172.31.24.7 59001 0 2 c21-c5-4xlarge 172.31.18.213 59001 &gt; /dev/null 2&gt;&amp;1 &amp;'"</v>
      </c>
    </row>
    <row r="39" spans="2:2" x14ac:dyDescent="0.25">
      <c r="B39" t="str">
        <f>B$2&amp;info!E31&amp;" "&amp;CHAR(34)&amp;B$3&amp;CHAR(39)&amp;B$4&amp;" 3 2 "&amp;info!D31&amp;" "&amp;info!E31&amp;" "&amp;B$6&amp;" "&amp;B$7&amp;" "&amp;C$7&amp;" "&amp;info!F31&amp;B$5&amp;CHAR(39)&amp;CHAR(34)</f>
        <v>ssh -i p2pstorage.pem ec2-user@172.31.29.177 "sh -c 'cd node; nohup ./startServer.sh 3 2 c29-c5-xlarge 172.31.29.177 59001 0 2 c21-c5-4xlarge 172.31.18.213 59001 &gt; /dev/null 2&gt;&amp;1 &amp;'"</v>
      </c>
    </row>
    <row r="40" spans="2:2" x14ac:dyDescent="0.25">
      <c r="B40" t="str">
        <f>B$2&amp;info!E32&amp;" "&amp;CHAR(34)&amp;B$3&amp;CHAR(39)&amp;B$4&amp;" 3 2 "&amp;info!D32&amp;" "&amp;info!E32&amp;" "&amp;B$6&amp;" "&amp;B$7&amp;" "&amp;C$7&amp;" "&amp;info!F32&amp;B$5&amp;CHAR(39)&amp;CHAR(34)</f>
        <v>ssh -i p2pstorage.pem ec2-user@172.31.18.111 "sh -c 'cd node; nohup ./startServer.sh 3 2 c30-c5-2xlarge 172.31.18.111 59001 0 2 c21-c5-4xlarge 172.31.18.213 59001 &gt; /dev/null 2&gt;&amp;1 &amp;'"</v>
      </c>
    </row>
    <row r="41" spans="2:2" x14ac:dyDescent="0.25">
      <c r="B41" t="str">
        <f>B$2&amp;info!E33&amp;" "&amp;CHAR(34)&amp;B$3&amp;CHAR(39)&amp;B$4&amp;" 3 2 "&amp;info!D33&amp;" "&amp;info!E33&amp;" "&amp;B$6&amp;" "&amp;B$7&amp;" "&amp;C$7&amp;" "&amp;info!F33&amp;B$5&amp;CHAR(39)&amp;CHAR(34)</f>
        <v>ssh -i p2pstorage.pem ec2-user@172.31.18.88 "sh -c 'cd node; nohup ./startServer.sh 3 2 c31-c5-4xlarge 172.31.18.88 59001 0 2 c21-c5-4xlarge 172.31.18.213 59001 &gt; /dev/null 2&gt;&amp;1 &amp;'"</v>
      </c>
    </row>
    <row r="42" spans="2:2" x14ac:dyDescent="0.25">
      <c r="B42" t="str">
        <f>B$2&amp;info!E34&amp;" "&amp;CHAR(34)&amp;B$3&amp;CHAR(39)&amp;B$4&amp;" 3 2 "&amp;info!D34&amp;" "&amp;info!E34&amp;" "&amp;B$6&amp;" "&amp;B$7&amp;" "&amp;C$7&amp;" "&amp;info!F34&amp;B$5&amp;CHAR(39)&amp;CHAR(34)</f>
        <v>ssh -i p2pstorage.pem ec2-user@172.31.27.94 "sh -c 'cd node; nohup ./startServer.sh 3 2 c32-t2-small 172.31.27.94 59001 0 2 c31-c5-4xlarge 172.31.18.88 59001 &gt; /dev/null 2&gt;&amp;1 &amp;'"</v>
      </c>
    </row>
    <row r="43" spans="2:2" x14ac:dyDescent="0.25">
      <c r="B43" t="str">
        <f>B$2&amp;info!E35&amp;" "&amp;CHAR(34)&amp;B$3&amp;CHAR(39)&amp;B$4&amp;" 3 2 "&amp;info!D35&amp;" "&amp;info!E35&amp;" "&amp;B$6&amp;" "&amp;B$7&amp;" "&amp;C$7&amp;" "&amp;info!F35&amp;B$5&amp;CHAR(39)&amp;CHAR(34)</f>
        <v>ssh -i p2pstorage.pem ec2-user@172.31.28.207 "sh -c 'cd node; nohup ./startServer.sh 3 2 c33-t2-small 172.31.28.207 59001 0 2 c31-c5-4xlarge 172.31.18.88 59001 &gt; /dev/null 2&gt;&amp;1 &amp;'"</v>
      </c>
    </row>
    <row r="44" spans="2:2" x14ac:dyDescent="0.25">
      <c r="B44" t="str">
        <f>B$2&amp;info!E36&amp;" "&amp;CHAR(34)&amp;B$3&amp;CHAR(39)&amp;B$4&amp;" 3 2 "&amp;info!D36&amp;" "&amp;info!E36&amp;" "&amp;B$6&amp;" "&amp;B$7&amp;" "&amp;C$7&amp;" "&amp;info!F36&amp;B$5&amp;CHAR(39)&amp;CHAR(34)</f>
        <v>ssh -i p2pstorage.pem ec2-user@172.31.28.32 "sh -c 'cd node; nohup ./startServer.sh 3 2 c34-t2-small 172.31.28.32 59001 0 2 c31-c5-4xlarge 172.31.18.88 59001 &gt; /dev/null 2&gt;&amp;1 &amp;'"</v>
      </c>
    </row>
    <row r="45" spans="2:2" x14ac:dyDescent="0.25">
      <c r="B45" t="str">
        <f>B$2&amp;info!E37&amp;" "&amp;CHAR(34)&amp;B$3&amp;CHAR(39)&amp;B$4&amp;" 3 2 "&amp;info!D37&amp;" "&amp;info!E37&amp;" "&amp;B$6&amp;" "&amp;B$7&amp;" "&amp;C$7&amp;" "&amp;info!F37&amp;B$5&amp;CHAR(39)&amp;CHAR(34)</f>
        <v>ssh -i p2pstorage.pem ec2-user@172.31.22.108 "sh -c 'cd node; nohup ./startServer.sh 3 2 c35-t2-medium 172.31.22.108 59001 0 2 c31-c5-4xlarge 172.31.18.88 59001 &gt; /dev/null 2&gt;&amp;1 &amp;'"</v>
      </c>
    </row>
    <row r="46" spans="2:2" x14ac:dyDescent="0.25">
      <c r="B46" t="str">
        <f>B$2&amp;info!E38&amp;" "&amp;CHAR(34)&amp;B$3&amp;CHAR(39)&amp;B$4&amp;" 3 2 "&amp;info!D38&amp;" "&amp;info!E38&amp;" "&amp;B$6&amp;" "&amp;B$7&amp;" "&amp;C$7&amp;" "&amp;info!F38&amp;B$5&amp;CHAR(39)&amp;CHAR(34)</f>
        <v>ssh -i p2pstorage.pem ec2-user@172.31.19.189 "sh -c 'cd node; nohup ./startServer.sh 3 2 c36-t2-medium 172.31.19.189 59001 0 2 c31-c5-4xlarge 172.31.18.88 59001 &gt; /dev/null 2&gt;&amp;1 &amp;'"</v>
      </c>
    </row>
    <row r="47" spans="2:2" x14ac:dyDescent="0.25">
      <c r="B47" t="str">
        <f>B$2&amp;info!E39&amp;" "&amp;CHAR(34)&amp;B$3&amp;CHAR(39)&amp;B$4&amp;" 3 2 "&amp;info!D39&amp;" "&amp;info!E39&amp;" "&amp;B$6&amp;" "&amp;B$7&amp;" "&amp;C$7&amp;" "&amp;info!F39&amp;B$5&amp;CHAR(39)&amp;CHAR(34)</f>
        <v>ssh -i p2pstorage.pem ec2-user@172.31.16.175 "sh -c 'cd node; nohup ./startServer.sh 3 2 c37-t2-medium 172.31.16.175 59001 0 2 c31-c5-4xlarge 172.31.18.88 59001 &gt; /dev/null 2&gt;&amp;1 &amp;'"</v>
      </c>
    </row>
    <row r="48" spans="2:2" x14ac:dyDescent="0.25">
      <c r="B48" t="str">
        <f>B$2&amp;info!E40&amp;" "&amp;CHAR(34)&amp;B$3&amp;CHAR(39)&amp;B$4&amp;" 3 2 "&amp;info!D40&amp;" "&amp;info!E40&amp;" "&amp;B$6&amp;" "&amp;B$7&amp;" "&amp;C$7&amp;" "&amp;info!F40&amp;B$5&amp;CHAR(39)&amp;CHAR(34)</f>
        <v>ssh -i p2pstorage.pem ec2-user@172.31.26.82 "sh -c 'cd node; nohup ./startServer.sh 3 2 c38-c5-xlarge 172.31.26.82 59001 0 2 c31-c5-4xlarge 172.31.18.88 59001 &gt; /dev/null 2&gt;&amp;1 &amp;'"</v>
      </c>
    </row>
    <row r="49" spans="2:2" x14ac:dyDescent="0.25">
      <c r="B49" t="str">
        <f>B$2&amp;info!E41&amp;" "&amp;CHAR(34)&amp;B$3&amp;CHAR(39)&amp;B$4&amp;" 3 2 "&amp;info!D41&amp;" "&amp;info!E41&amp;" "&amp;B$6&amp;" "&amp;B$7&amp;" "&amp;C$7&amp;" "&amp;info!F41&amp;B$5&amp;CHAR(39)&amp;CHAR(34)</f>
        <v>ssh -i p2pstorage.pem ec2-user@172.31.29.98 "sh -c 'cd node; nohup ./startServer.sh 3 2 c39-c5-xlarge 172.31.29.98 59001 0 2 c31-c5-4xlarge 172.31.18.88 59001 &gt; /dev/null 2&gt;&amp;1 &amp;'"</v>
      </c>
    </row>
    <row r="50" spans="2:2" x14ac:dyDescent="0.25">
      <c r="B50" t="str">
        <f>B$2&amp;info!E42&amp;" "&amp;CHAR(34)&amp;B$3&amp;CHAR(39)&amp;B$4&amp;" 3 2 "&amp;info!D42&amp;" "&amp;info!E42&amp;" "&amp;B$6&amp;" "&amp;B$7&amp;" "&amp;C$7&amp;" "&amp;info!F42&amp;B$5&amp;CHAR(39)&amp;CHAR(34)</f>
        <v>ssh -i p2pstorage.pem ec2-user@172.31.23.103 "sh -c 'cd node; nohup ./startServer.sh 3 2 c40-c5-2xlarge 172.31.23.103 59001 0 2 c31-c5-4xlarge 172.31.18.88 59001 &gt; /dev/null 2&gt;&amp;1 &amp;'"</v>
      </c>
    </row>
    <row r="51" spans="2:2" x14ac:dyDescent="0.25">
      <c r="B51" s="3" t="s">
        <v>145</v>
      </c>
    </row>
    <row r="52" spans="2:2" x14ac:dyDescent="0.25">
      <c r="B52" t="str">
        <f>B$2&amp;info!E44&amp;" "&amp;CHAR(34)&amp;B$3&amp;CHAR(39)&amp;B$4&amp;" 3 2 "&amp;info!D44&amp;" "&amp;info!E44&amp;" "&amp;B$6&amp;" "&amp;B$7&amp;" "&amp;C$7&amp;" "&amp;info!F44&amp;B$5&amp;CHAR(39)&amp;CHAR(34)</f>
        <v>ssh -i p2pstorage.pem ec2-user@172.31.29.34 "sh -c 'cd node; nohup ./startServer.sh 3 2 c41-c5-4xlarge 172.31.29.34 59001 0 2 c31-c5-4xlarge 172.31.18.88 59001 &gt; /dev/null 2&gt;&amp;1 &amp;'"</v>
      </c>
    </row>
    <row r="53" spans="2:2" x14ac:dyDescent="0.25">
      <c r="B53" t="str">
        <f>B$2&amp;info!E45&amp;" "&amp;CHAR(34)&amp;B$3&amp;CHAR(39)&amp;B$4&amp;" 3 2 "&amp;info!D45&amp;" "&amp;info!E45&amp;" "&amp;B$6&amp;" "&amp;B$7&amp;" "&amp;C$7&amp;" "&amp;info!F45&amp;B$5&amp;CHAR(39)&amp;CHAR(34)</f>
        <v>ssh -i p2pstorage.pem ec2-user@172.31.31.208 "sh -c 'cd node; nohup ./startServer.sh 3 2 c42-t2-small 172.31.31.208 59001 0 2 c41-c5-4xlarge 172.31.29.34 59001 &gt; /dev/null 2&gt;&amp;1 &amp;'"</v>
      </c>
    </row>
    <row r="54" spans="2:2" x14ac:dyDescent="0.25">
      <c r="B54" t="str">
        <f>B$2&amp;info!E46&amp;" "&amp;CHAR(34)&amp;B$3&amp;CHAR(39)&amp;B$4&amp;" 3 2 "&amp;info!D46&amp;" "&amp;info!E46&amp;" "&amp;B$6&amp;" "&amp;B$7&amp;" "&amp;C$7&amp;" "&amp;info!F46&amp;B$5&amp;CHAR(39)&amp;CHAR(34)</f>
        <v>ssh -i p2pstorage.pem ec2-user@172.31.19.51 "sh -c 'cd node; nohup ./startServer.sh 3 2 c43-t2-small 172.31.19.51 59001 0 2 c41-c5-4xlarge 172.31.29.34 59001 &gt; /dev/null 2&gt;&amp;1 &amp;'"</v>
      </c>
    </row>
    <row r="55" spans="2:2" x14ac:dyDescent="0.25">
      <c r="B55" t="str">
        <f>B$2&amp;info!E47&amp;" "&amp;CHAR(34)&amp;B$3&amp;CHAR(39)&amp;B$4&amp;" 3 2 "&amp;info!D47&amp;" "&amp;info!E47&amp;" "&amp;B$6&amp;" "&amp;B$7&amp;" "&amp;C$7&amp;" "&amp;info!F47&amp;B$5&amp;CHAR(39)&amp;CHAR(34)</f>
        <v>ssh -i p2pstorage.pem ec2-user@172.31.31.54 "sh -c 'cd node; nohup ./startServer.sh 3 2 c44-t2-small 172.31.31.54 59001 0 2 c41-c5-4xlarge 172.31.29.34 59001 &gt; /dev/null 2&gt;&amp;1 &amp;'"</v>
      </c>
    </row>
    <row r="56" spans="2:2" x14ac:dyDescent="0.25">
      <c r="B56" t="str">
        <f>B$2&amp;info!E48&amp;" "&amp;CHAR(34)&amp;B$3&amp;CHAR(39)&amp;B$4&amp;" 3 2 "&amp;info!D48&amp;" "&amp;info!E48&amp;" "&amp;B$6&amp;" "&amp;B$7&amp;" "&amp;C$7&amp;" "&amp;info!F48&amp;B$5&amp;CHAR(39)&amp;CHAR(34)</f>
        <v>ssh -i p2pstorage.pem ec2-user@172.31.26.164 "sh -c 'cd node; nohup ./startServer.sh 3 2 c45-t2-medium 172.31.26.164 59001 0 2 c41-c5-4xlarge 172.31.29.34 59001 &gt; /dev/null 2&gt;&amp;1 &amp;'"</v>
      </c>
    </row>
    <row r="57" spans="2:2" x14ac:dyDescent="0.25">
      <c r="B57" t="str">
        <f>B$2&amp;info!E49&amp;" "&amp;CHAR(34)&amp;B$3&amp;CHAR(39)&amp;B$4&amp;" 3 2 "&amp;info!D49&amp;" "&amp;info!E49&amp;" "&amp;B$6&amp;" "&amp;B$7&amp;" "&amp;C$7&amp;" "&amp;info!F49&amp;B$5&amp;CHAR(39)&amp;CHAR(34)</f>
        <v>ssh -i p2pstorage.pem ec2-user@172.31.25.233 "sh -c 'cd node; nohup ./startServer.sh 3 2 c46-t2-medium 172.31.25.233 59001 0 2 c41-c5-4xlarge 172.31.29.34 59001 &gt; /dev/null 2&gt;&amp;1 &amp;'"</v>
      </c>
    </row>
    <row r="58" spans="2:2" x14ac:dyDescent="0.25">
      <c r="B58" t="str">
        <f>B$2&amp;info!E50&amp;" "&amp;CHAR(34)&amp;B$3&amp;CHAR(39)&amp;B$4&amp;" 3 2 "&amp;info!D50&amp;" "&amp;info!E50&amp;" "&amp;B$6&amp;" "&amp;B$7&amp;" "&amp;C$7&amp;" "&amp;info!F50&amp;B$5&amp;CHAR(39)&amp;CHAR(34)</f>
        <v>ssh -i p2pstorage.pem ec2-user@172.31.22.203 "sh -c 'cd node; nohup ./startServer.sh 3 2 c47-t2-medium 172.31.22.203 59001 0 2 c41-c5-4xlarge 172.31.29.34 59001 &gt; /dev/null 2&gt;&amp;1 &amp;'"</v>
      </c>
    </row>
    <row r="59" spans="2:2" x14ac:dyDescent="0.25">
      <c r="B59" t="str">
        <f>B$2&amp;info!E51&amp;" "&amp;CHAR(34)&amp;B$3&amp;CHAR(39)&amp;B$4&amp;" 3 2 "&amp;info!D51&amp;" "&amp;info!E51&amp;" "&amp;B$6&amp;" "&amp;B$7&amp;" "&amp;C$7&amp;" "&amp;info!F51&amp;B$5&amp;CHAR(39)&amp;CHAR(34)</f>
        <v>ssh -i p2pstorage.pem ec2-user@172.31.19.225 "sh -c 'cd node; nohup ./startServer.sh 3 2 c48-c5-xlarge 172.31.19.225 59001 0 2 c41-c5-4xlarge 172.31.29.34 59001 &gt; /dev/null 2&gt;&amp;1 &amp;'"</v>
      </c>
    </row>
    <row r="60" spans="2:2" x14ac:dyDescent="0.25">
      <c r="B60" t="str">
        <f>B$2&amp;info!E52&amp;" "&amp;CHAR(34)&amp;B$3&amp;CHAR(39)&amp;B$4&amp;" 3 2 "&amp;info!D52&amp;" "&amp;info!E52&amp;" "&amp;B$6&amp;" "&amp;B$7&amp;" "&amp;C$7&amp;" "&amp;info!F52&amp;B$5&amp;CHAR(39)&amp;CHAR(34)</f>
        <v>ssh -i p2pstorage.pem ec2-user@172.31.26.244 "sh -c 'cd node; nohup ./startServer.sh 3 2 c49-c5-xlarge 172.31.26.244 59001 0 2 c41-c5-4xlarge 172.31.29.34 59001 &gt; /dev/null 2&gt;&amp;1 &amp;'"</v>
      </c>
    </row>
    <row r="61" spans="2:2" x14ac:dyDescent="0.25">
      <c r="B61" t="str">
        <f>B$2&amp;info!E53&amp;" "&amp;CHAR(34)&amp;B$3&amp;CHAR(39)&amp;B$4&amp;" 3 2 "&amp;info!D53&amp;" "&amp;info!E53&amp;" "&amp;B$6&amp;" "&amp;B$7&amp;" "&amp;C$7&amp;" "&amp;info!F53&amp;B$5&amp;CHAR(39)&amp;CHAR(34)</f>
        <v>ssh -i p2pstorage.pem ec2-user@172.31.30.61 "sh -c 'cd node; nohup ./startServer.sh 3 2 c50-c5-2xlarge 172.31.30.61 59001 0 2 c41-c5-4xlarge 172.31.29.34 59001 &gt; /dev/null 2&gt;&amp;1 &amp;'"</v>
      </c>
    </row>
    <row r="62" spans="2:2" x14ac:dyDescent="0.25">
      <c r="B62" t="str">
        <f>B$2&amp;info!E54&amp;" "&amp;CHAR(34)&amp;B$3&amp;CHAR(39)&amp;B$4&amp;" 3 2 "&amp;info!D54&amp;" "&amp;info!E54&amp;" "&amp;B$6&amp;" "&amp;B$7&amp;" "&amp;C$7&amp;" "&amp;info!F54&amp;B$5&amp;CHAR(39)&amp;CHAR(34)</f>
        <v>ssh -i p2pstorage.pem ec2-user@172.31.29.11 "sh -c 'cd node; nohup ./startServer.sh 3 2 c51-c5-4xlarge 172.31.29.11 59001 0 2 c41-c5-4xlarge 172.31.29.34 59001 &gt; /dev/null 2&gt;&amp;1 &amp;'"</v>
      </c>
    </row>
    <row r="63" spans="2:2" x14ac:dyDescent="0.25">
      <c r="B63" t="str">
        <f>B$2&amp;info!E55&amp;" "&amp;CHAR(34)&amp;B$3&amp;CHAR(39)&amp;B$4&amp;" 3 2 "&amp;info!D55&amp;" "&amp;info!E55&amp;" "&amp;B$6&amp;" "&amp;B$7&amp;" "&amp;C$7&amp;" "&amp;info!F55&amp;B$5&amp;CHAR(39)&amp;CHAR(34)</f>
        <v>ssh -i p2pstorage.pem ec2-user@172.31.17.199 "sh -c 'cd node; nohup ./startServer.sh 3 2 c52-t2-small 172.31.17.199 59001 0 2 c51-c5-4xlarge 172.31.29.11 59001 &gt; /dev/null 2&gt;&amp;1 &amp;'"</v>
      </c>
    </row>
    <row r="64" spans="2:2" x14ac:dyDescent="0.25">
      <c r="B64" t="str">
        <f>B$2&amp;info!E56&amp;" "&amp;CHAR(34)&amp;B$3&amp;CHAR(39)&amp;B$4&amp;" 3 2 "&amp;info!D56&amp;" "&amp;info!E56&amp;" "&amp;B$6&amp;" "&amp;B$7&amp;" "&amp;C$7&amp;" "&amp;info!F56&amp;B$5&amp;CHAR(39)&amp;CHAR(34)</f>
        <v>ssh -i p2pstorage.pem ec2-user@172.31.26.151 "sh -c 'cd node; nohup ./startServer.sh 3 2 c53-t2-small 172.31.26.151 59001 0 2 c51-c5-4xlarge 172.31.29.11 59001 &gt; /dev/null 2&gt;&amp;1 &amp;'"</v>
      </c>
    </row>
    <row r="65" spans="2:2" x14ac:dyDescent="0.25">
      <c r="B65" t="str">
        <f>B$2&amp;info!E57&amp;" "&amp;CHAR(34)&amp;B$3&amp;CHAR(39)&amp;B$4&amp;" 3 2 "&amp;info!D57&amp;" "&amp;info!E57&amp;" "&amp;B$6&amp;" "&amp;B$7&amp;" "&amp;C$7&amp;" "&amp;info!F57&amp;B$5&amp;CHAR(39)&amp;CHAR(34)</f>
        <v>ssh -i p2pstorage.pem ec2-user@172.31.25.77 "sh -c 'cd node; nohup ./startServer.sh 3 2 c54-t2-small 172.31.25.77 59001 0 2 c51-c5-4xlarge 172.31.29.11 59001 &gt; /dev/null 2&gt;&amp;1 &amp;'"</v>
      </c>
    </row>
    <row r="66" spans="2:2" x14ac:dyDescent="0.25">
      <c r="B66" t="str">
        <f>B$2&amp;info!E58&amp;" "&amp;CHAR(34)&amp;B$3&amp;CHAR(39)&amp;B$4&amp;" 3 2 "&amp;info!D58&amp;" "&amp;info!E58&amp;" "&amp;B$6&amp;" "&amp;B$7&amp;" "&amp;C$7&amp;" "&amp;info!F58&amp;B$5&amp;CHAR(39)&amp;CHAR(34)</f>
        <v>ssh -i p2pstorage.pem ec2-user@172.31.27.166 "sh -c 'cd node; nohup ./startServer.sh 3 2 c55-t2-medium 172.31.27.166 59001 0 2 c51-c5-4xlarge 172.31.29.11 59001 &gt; /dev/null 2&gt;&amp;1 &amp;'"</v>
      </c>
    </row>
    <row r="67" spans="2:2" x14ac:dyDescent="0.25">
      <c r="B67" t="str">
        <f>B$2&amp;info!E59&amp;" "&amp;CHAR(34)&amp;B$3&amp;CHAR(39)&amp;B$4&amp;" 3 2 "&amp;info!D59&amp;" "&amp;info!E59&amp;" "&amp;B$6&amp;" "&amp;B$7&amp;" "&amp;C$7&amp;" "&amp;info!F59&amp;B$5&amp;CHAR(39)&amp;CHAR(34)</f>
        <v>ssh -i p2pstorage.pem ec2-user@172.31.17.98 "sh -c 'cd node; nohup ./startServer.sh 3 2 c56-t2-medium 172.31.17.98 59001 0 2 c51-c5-4xlarge 172.31.29.11 59001 &gt; /dev/null 2&gt;&amp;1 &amp;'"</v>
      </c>
    </row>
    <row r="68" spans="2:2" x14ac:dyDescent="0.25">
      <c r="B68" t="str">
        <f>B$2&amp;info!E60&amp;" "&amp;CHAR(34)&amp;B$3&amp;CHAR(39)&amp;B$4&amp;" 3 2 "&amp;info!D60&amp;" "&amp;info!E60&amp;" "&amp;B$6&amp;" "&amp;B$7&amp;" "&amp;C$7&amp;" "&amp;info!F60&amp;B$5&amp;CHAR(39)&amp;CHAR(34)</f>
        <v>ssh -i p2pstorage.pem ec2-user@172.31.27.25 "sh -c 'cd node; nohup ./startServer.sh 3 2 c57-t2-medium 172.31.27.25 59001 0 2 c51-c5-4xlarge 172.31.29.11 59001 &gt; /dev/null 2&gt;&amp;1 &amp;'"</v>
      </c>
    </row>
    <row r="69" spans="2:2" x14ac:dyDescent="0.25">
      <c r="B69" t="str">
        <f>B$2&amp;info!E61&amp;" "&amp;CHAR(34)&amp;B$3&amp;CHAR(39)&amp;B$4&amp;" 3 2 "&amp;info!D61&amp;" "&amp;info!E61&amp;" "&amp;B$6&amp;" "&amp;B$7&amp;" "&amp;C$7&amp;" "&amp;info!F61&amp;B$5&amp;CHAR(39)&amp;CHAR(34)</f>
        <v>ssh -i p2pstorage.pem ec2-user@172.31.24.96 "sh -c 'cd node; nohup ./startServer.sh 3 2 c58-c5-xlarge 172.31.24.96 59001 0 2 c51-c5-4xlarge 172.31.29.11 59001 &gt; /dev/null 2&gt;&amp;1 &amp;'"</v>
      </c>
    </row>
    <row r="70" spans="2:2" x14ac:dyDescent="0.25">
      <c r="B70" t="str">
        <f>B$2&amp;info!E62&amp;" "&amp;CHAR(34)&amp;B$3&amp;CHAR(39)&amp;B$4&amp;" 3 2 "&amp;info!D62&amp;" "&amp;info!E62&amp;" "&amp;B$6&amp;" "&amp;B$7&amp;" "&amp;C$7&amp;" "&amp;info!F62&amp;B$5&amp;CHAR(39)&amp;CHAR(34)</f>
        <v>ssh -i p2pstorage.pem ec2-user@172.31.22.197 "sh -c 'cd node; nohup ./startServer.sh 3 2 c59-c5-xlarge 172.31.22.197 59001 0 2 c51-c5-4xlarge 172.31.29.11 59001 &gt; /dev/null 2&gt;&amp;1 &amp;'"</v>
      </c>
    </row>
    <row r="71" spans="2:2" x14ac:dyDescent="0.25">
      <c r="B71" t="str">
        <f>B$2&amp;info!E63&amp;" "&amp;CHAR(34)&amp;B$3&amp;CHAR(39)&amp;B$4&amp;" 3 2 "&amp;info!D63&amp;" "&amp;info!E63&amp;" "&amp;B$6&amp;" "&amp;B$7&amp;" "&amp;C$7&amp;" "&amp;info!F63&amp;B$5&amp;CHAR(39)&amp;CHAR(34)</f>
        <v>ssh -i p2pstorage.pem ec2-user@172.31.20.108 "sh -c 'cd node; nohup ./startServer.sh 3 2 c60-c5-2xlarge 172.31.20.108 59001 0 2 c51-c5-4xlarge 172.31.29.11 59001 &gt; /dev/null 2&gt;&amp;1 &amp;'"</v>
      </c>
    </row>
    <row r="72" spans="2:2" x14ac:dyDescent="0.25">
      <c r="B72" s="3" t="s">
        <v>145</v>
      </c>
    </row>
    <row r="73" spans="2:2" x14ac:dyDescent="0.25">
      <c r="B73" t="str">
        <f>B$2&amp;info!E65&amp;" "&amp;CHAR(34)&amp;B$3&amp;CHAR(39)&amp;B$4&amp;" 3 2 "&amp;info!D65&amp;" "&amp;info!E65&amp;" "&amp;B$6&amp;" "&amp;B$7&amp;" "&amp;C$7&amp;" "&amp;info!F65&amp;B$5&amp;CHAR(39)&amp;CHAR(34)</f>
        <v>ssh -i p2pstorage.pem ec2-user@172.31.27.188 "sh -c 'cd node; nohup ./startServer.sh 3 2 c61-c5-4xlarge 172.31.27.188 59001 0 2 c51-c5-4xlarge 172.31.29.11 59001 &gt; /dev/null 2&gt;&amp;1 &amp;'"</v>
      </c>
    </row>
    <row r="74" spans="2:2" x14ac:dyDescent="0.25">
      <c r="B74" t="str">
        <f>B$2&amp;info!E66&amp;" "&amp;CHAR(34)&amp;B$3&amp;CHAR(39)&amp;B$4&amp;" 3 2 "&amp;info!D66&amp;" "&amp;info!E66&amp;" "&amp;B$6&amp;" "&amp;B$7&amp;" "&amp;C$7&amp;" "&amp;info!F66&amp;B$5&amp;CHAR(39)&amp;CHAR(34)</f>
        <v>ssh -i p2pstorage.pem ec2-user@172.31.26.227 "sh -c 'cd node; nohup ./startServer.sh 3 2 c62-t2-small 172.31.26.227 59001 0 2 c61-c5-4xlarge 172.31.27.188 59001 &gt; /dev/null 2&gt;&amp;1 &amp;'"</v>
      </c>
    </row>
    <row r="75" spans="2:2" x14ac:dyDescent="0.25">
      <c r="B75" t="str">
        <f>B$2&amp;info!E67&amp;" "&amp;CHAR(34)&amp;B$3&amp;CHAR(39)&amp;B$4&amp;" 3 2 "&amp;info!D67&amp;" "&amp;info!E67&amp;" "&amp;B$6&amp;" "&amp;B$7&amp;" "&amp;C$7&amp;" "&amp;info!F67&amp;B$5&amp;CHAR(39)&amp;CHAR(34)</f>
        <v>ssh -i p2pstorage.pem ec2-user@172.31.19.74 "sh -c 'cd node; nohup ./startServer.sh 3 2 c63-t2-small 172.31.19.74 59001 0 2 c61-c5-4xlarge 172.31.27.188 59001 &gt; /dev/null 2&gt;&amp;1 &amp;'"</v>
      </c>
    </row>
    <row r="76" spans="2:2" x14ac:dyDescent="0.25">
      <c r="B76" t="str">
        <f>B$2&amp;info!E68&amp;" "&amp;CHAR(34)&amp;B$3&amp;CHAR(39)&amp;B$4&amp;" 3 2 "&amp;info!D68&amp;" "&amp;info!E68&amp;" "&amp;B$6&amp;" "&amp;B$7&amp;" "&amp;C$7&amp;" "&amp;info!F68&amp;B$5&amp;CHAR(39)&amp;CHAR(34)</f>
        <v>ssh -i p2pstorage.pem ec2-user@172.31.18.89 "sh -c 'cd node; nohup ./startServer.sh 3 2 c64-t2-small 172.31.18.89 59001 0 2 c61-c5-4xlarge 172.31.27.188 59001 &gt; /dev/null 2&gt;&amp;1 &amp;'"</v>
      </c>
    </row>
    <row r="77" spans="2:2" x14ac:dyDescent="0.25">
      <c r="B77" t="str">
        <f>B$2&amp;info!E69&amp;" "&amp;CHAR(34)&amp;B$3&amp;CHAR(39)&amp;B$4&amp;" 3 2 "&amp;info!D69&amp;" "&amp;info!E69&amp;" "&amp;B$6&amp;" "&amp;B$7&amp;" "&amp;C$7&amp;" "&amp;info!F69&amp;B$5&amp;CHAR(39)&amp;CHAR(34)</f>
        <v>ssh -i p2pstorage.pem ec2-user@172.31.22.198 "sh -c 'cd node; nohup ./startServer.sh 3 2 c65-t2-medium 172.31.22.198 59001 0 2 c61-c5-4xlarge 172.31.27.188 59001 &gt; /dev/null 2&gt;&amp;1 &amp;'"</v>
      </c>
    </row>
    <row r="78" spans="2:2" x14ac:dyDescent="0.25">
      <c r="B78" t="str">
        <f>B$2&amp;info!E70&amp;" "&amp;CHAR(34)&amp;B$3&amp;CHAR(39)&amp;B$4&amp;" 3 2 "&amp;info!D70&amp;" "&amp;info!E70&amp;" "&amp;B$6&amp;" "&amp;B$7&amp;" "&amp;C$7&amp;" "&amp;info!F70&amp;B$5&amp;CHAR(39)&amp;CHAR(34)</f>
        <v>ssh -i p2pstorage.pem ec2-user@172.31.20.6 "sh -c 'cd node; nohup ./startServer.sh 3 2 c66-t2-medium 172.31.20.6 59001 0 2 c61-c5-4xlarge 172.31.27.188 59001 &gt; /dev/null 2&gt;&amp;1 &amp;'"</v>
      </c>
    </row>
    <row r="79" spans="2:2" x14ac:dyDescent="0.25">
      <c r="B79" t="str">
        <f>B$2&amp;info!E71&amp;" "&amp;CHAR(34)&amp;B$3&amp;CHAR(39)&amp;B$4&amp;" 3 2 "&amp;info!D71&amp;" "&amp;info!E71&amp;" "&amp;B$6&amp;" "&amp;B$7&amp;" "&amp;C$7&amp;" "&amp;info!F71&amp;B$5&amp;CHAR(39)&amp;CHAR(34)</f>
        <v>ssh -i p2pstorage.pem ec2-user@172.31.24.234 "sh -c 'cd node; nohup ./startServer.sh 3 2 c67-t2-medium 172.31.24.234 59001 0 2 c61-c5-4xlarge 172.31.27.188 59001 &gt; /dev/null 2&gt;&amp;1 &amp;'"</v>
      </c>
    </row>
    <row r="80" spans="2:2" x14ac:dyDescent="0.25">
      <c r="B80" t="str">
        <f>B$2&amp;info!E72&amp;" "&amp;CHAR(34)&amp;B$3&amp;CHAR(39)&amp;B$4&amp;" 3 2 "&amp;info!D72&amp;" "&amp;info!E72&amp;" "&amp;B$6&amp;" "&amp;B$7&amp;" "&amp;C$7&amp;" "&amp;info!F72&amp;B$5&amp;CHAR(39)&amp;CHAR(34)</f>
        <v>ssh -i p2pstorage.pem ec2-user@172.31.16.123 "sh -c 'cd node; nohup ./startServer.sh 3 2 c68-c5-xlarge 172.31.16.123 59001 0 2 c61-c5-4xlarge 172.31.27.188 59001 &gt; /dev/null 2&gt;&amp;1 &amp;'"</v>
      </c>
    </row>
    <row r="81" spans="2:2" x14ac:dyDescent="0.25">
      <c r="B81" t="str">
        <f>B$2&amp;info!E73&amp;" "&amp;CHAR(34)&amp;B$3&amp;CHAR(39)&amp;B$4&amp;" 3 2 "&amp;info!D73&amp;" "&amp;info!E73&amp;" "&amp;B$6&amp;" "&amp;B$7&amp;" "&amp;C$7&amp;" "&amp;info!F73&amp;B$5&amp;CHAR(39)&amp;CHAR(34)</f>
        <v>ssh -i p2pstorage.pem ec2-user@172.31.22.139 "sh -c 'cd node; nohup ./startServer.sh 3 2 c69-c5-xlarge 172.31.22.139 59001 0 2 c61-c5-4xlarge 172.31.27.188 59001 &gt; /dev/null 2&gt;&amp;1 &amp;'"</v>
      </c>
    </row>
    <row r="82" spans="2:2" x14ac:dyDescent="0.25">
      <c r="B82" t="str">
        <f>B$2&amp;info!E74&amp;" "&amp;CHAR(34)&amp;B$3&amp;CHAR(39)&amp;B$4&amp;" 3 2 "&amp;info!D74&amp;" "&amp;info!E74&amp;" "&amp;B$6&amp;" "&amp;B$7&amp;" "&amp;C$7&amp;" "&amp;info!F74&amp;B$5&amp;CHAR(39)&amp;CHAR(34)</f>
        <v>ssh -i p2pstorage.pem ec2-user@172.31.29.152 "sh -c 'cd node; nohup ./startServer.sh 3 2 c70-c5-2xlarge 172.31.29.152 59001 0 2 c61-c5-4xlarge 172.31.27.188 59001 &gt; /dev/null 2&gt;&amp;1 &amp;'"</v>
      </c>
    </row>
    <row r="83" spans="2:2" x14ac:dyDescent="0.25">
      <c r="B83" t="str">
        <f>B$2&amp;info!E75&amp;" "&amp;CHAR(34)&amp;B$3&amp;CHAR(39)&amp;B$4&amp;" 3 2 "&amp;info!D75&amp;" "&amp;info!E75&amp;" "&amp;B$6&amp;" "&amp;B$7&amp;" "&amp;C$7&amp;" "&amp;info!F75&amp;B$5&amp;CHAR(39)&amp;CHAR(34)</f>
        <v>ssh -i p2pstorage.pem ec2-user@172.31.28.114 "sh -c 'cd node; nohup ./startServer.sh 3 2 c71-c5-4xlarge 172.31.28.114 59001 0 2 c61-c5-4xlarge 172.31.27.188 59001 &gt; /dev/null 2&gt;&amp;1 &amp;'"</v>
      </c>
    </row>
    <row r="84" spans="2:2" x14ac:dyDescent="0.25">
      <c r="B84" t="str">
        <f>B$2&amp;info!E76&amp;" "&amp;CHAR(34)&amp;B$3&amp;CHAR(39)&amp;B$4&amp;" 3 2 "&amp;info!D76&amp;" "&amp;info!E76&amp;" "&amp;B$6&amp;" "&amp;B$7&amp;" "&amp;C$7&amp;" "&amp;info!F76&amp;B$5&amp;CHAR(39)&amp;CHAR(34)</f>
        <v>ssh -i p2pstorage.pem ec2-user@172.31.26.46 "sh -c 'cd node; nohup ./startServer.sh 3 2 c72-t2-small 172.31.26.46 59001 0 2 c71-c5-4xlarge 172.31.28.114 59001 &gt; /dev/null 2&gt;&amp;1 &amp;'"</v>
      </c>
    </row>
    <row r="85" spans="2:2" x14ac:dyDescent="0.25">
      <c r="B85" t="str">
        <f>B$2&amp;info!E77&amp;" "&amp;CHAR(34)&amp;B$3&amp;CHAR(39)&amp;B$4&amp;" 3 2 "&amp;info!D77&amp;" "&amp;info!E77&amp;" "&amp;B$6&amp;" "&amp;B$7&amp;" "&amp;C$7&amp;" "&amp;info!F77&amp;B$5&amp;CHAR(39)&amp;CHAR(34)</f>
        <v>ssh -i p2pstorage.pem ec2-user@172.31.17.17 "sh -c 'cd node; nohup ./startServer.sh 3 2 c73-t2-small 172.31.17.17 59001 0 2 c71-c5-4xlarge 172.31.28.114 59001 &gt; /dev/null 2&gt;&amp;1 &amp;'"</v>
      </c>
    </row>
    <row r="86" spans="2:2" x14ac:dyDescent="0.25">
      <c r="B86" t="str">
        <f>B$2&amp;info!E78&amp;" "&amp;CHAR(34)&amp;B$3&amp;CHAR(39)&amp;B$4&amp;" 3 2 "&amp;info!D78&amp;" "&amp;info!E78&amp;" "&amp;B$6&amp;" "&amp;B$7&amp;" "&amp;C$7&amp;" "&amp;info!F78&amp;B$5&amp;CHAR(39)&amp;CHAR(34)</f>
        <v>ssh -i p2pstorage.pem ec2-user@172.31.24.201 "sh -c 'cd node; nohup ./startServer.sh 3 2 c74-t2-small 172.31.24.201 59001 0 2 c71-c5-4xlarge 172.31.28.114 59001 &gt; /dev/null 2&gt;&amp;1 &amp;'"</v>
      </c>
    </row>
    <row r="87" spans="2:2" x14ac:dyDescent="0.25">
      <c r="B87" t="str">
        <f>B$2&amp;info!E79&amp;" "&amp;CHAR(34)&amp;B$3&amp;CHAR(39)&amp;B$4&amp;" 3 2 "&amp;info!D79&amp;" "&amp;info!E79&amp;" "&amp;B$6&amp;" "&amp;B$7&amp;" "&amp;C$7&amp;" "&amp;info!F79&amp;B$5&amp;CHAR(39)&amp;CHAR(34)</f>
        <v>ssh -i p2pstorage.pem ec2-user@172.31.19.18 "sh -c 'cd node; nohup ./startServer.sh 3 2 c75-t2-medium 172.31.19.18 59001 0 2 c71-c5-4xlarge 172.31.28.114 59001 &gt; /dev/null 2&gt;&amp;1 &amp;'"</v>
      </c>
    </row>
    <row r="88" spans="2:2" x14ac:dyDescent="0.25">
      <c r="B88" t="str">
        <f>B$2&amp;info!E80&amp;" "&amp;CHAR(34)&amp;B$3&amp;CHAR(39)&amp;B$4&amp;" 3 2 "&amp;info!D80&amp;" "&amp;info!E80&amp;" "&amp;B$6&amp;" "&amp;B$7&amp;" "&amp;C$7&amp;" "&amp;info!F80&amp;B$5&amp;CHAR(39)&amp;CHAR(34)</f>
        <v>ssh -i p2pstorage.pem ec2-user@172.31.21.225 "sh -c 'cd node; nohup ./startServer.sh 3 2 c76-t2-medium 172.31.21.225 59001 0 2 c71-c5-4xlarge 172.31.28.114 59001 &gt; /dev/null 2&gt;&amp;1 &amp;'"</v>
      </c>
    </row>
    <row r="89" spans="2:2" x14ac:dyDescent="0.25">
      <c r="B89" t="str">
        <f>B$2&amp;info!E81&amp;" "&amp;CHAR(34)&amp;B$3&amp;CHAR(39)&amp;B$4&amp;" 3 2 "&amp;info!D81&amp;" "&amp;info!E81&amp;" "&amp;B$6&amp;" "&amp;B$7&amp;" "&amp;C$7&amp;" "&amp;info!F81&amp;B$5&amp;CHAR(39)&amp;CHAR(34)</f>
        <v>ssh -i p2pstorage.pem ec2-user@172.31.16.19 "sh -c 'cd node; nohup ./startServer.sh 3 2 c77-t2-medium 172.31.16.19 59001 0 2 c71-c5-4xlarge 172.31.28.114 59001 &gt; /dev/null 2&gt;&amp;1 &amp;'"</v>
      </c>
    </row>
    <row r="90" spans="2:2" x14ac:dyDescent="0.25">
      <c r="B90" t="str">
        <f>B$2&amp;info!E82&amp;" "&amp;CHAR(34)&amp;B$3&amp;CHAR(39)&amp;B$4&amp;" 3 2 "&amp;info!D82&amp;" "&amp;info!E82&amp;" "&amp;B$6&amp;" "&amp;B$7&amp;" "&amp;C$7&amp;" "&amp;info!F82&amp;B$5&amp;CHAR(39)&amp;CHAR(34)</f>
        <v>ssh -i p2pstorage.pem ec2-user@172.31.18.160 "sh -c 'cd node; nohup ./startServer.sh 3 2 c78-c5-xlarge 172.31.18.160 59001 0 2 c71-c5-4xlarge 172.31.28.114 59001 &gt; /dev/null 2&gt;&amp;1 &amp;'"</v>
      </c>
    </row>
    <row r="91" spans="2:2" x14ac:dyDescent="0.25">
      <c r="B91" t="str">
        <f>B$2&amp;info!E83&amp;" "&amp;CHAR(34)&amp;B$3&amp;CHAR(39)&amp;B$4&amp;" 3 2 "&amp;info!D83&amp;" "&amp;info!E83&amp;" "&amp;B$6&amp;" "&amp;B$7&amp;" "&amp;C$7&amp;" "&amp;info!F83&amp;B$5&amp;CHAR(39)&amp;CHAR(34)</f>
        <v>ssh -i p2pstorage.pem ec2-user@172.31.31.237 "sh -c 'cd node; nohup ./startServer.sh 3 2 c79-c5-xlarge 172.31.31.237 59001 0 2 c71-c5-4xlarge 172.31.28.114 59001 &gt; /dev/null 2&gt;&amp;1 &amp;'"</v>
      </c>
    </row>
    <row r="92" spans="2:2" x14ac:dyDescent="0.25">
      <c r="B92" t="str">
        <f>B$2&amp;info!E84&amp;" "&amp;CHAR(34)&amp;B$3&amp;CHAR(39)&amp;B$4&amp;" 3 2 "&amp;info!D84&amp;" "&amp;info!E84&amp;" "&amp;B$6&amp;" "&amp;B$7&amp;" "&amp;C$7&amp;" "&amp;info!F84&amp;B$5&amp;CHAR(39)&amp;CHAR(34)</f>
        <v>ssh -i p2pstorage.pem ec2-user@172.31.16.236 "sh -c 'cd node; nohup ./startServer.sh 3 2 c80-c5-2xlarge 172.31.16.236 59001 0 2 c71-c5-4xlarge 172.31.28.114 59001 &gt; /dev/null 2&gt;&amp;1 &amp;'"</v>
      </c>
    </row>
    <row r="93" spans="2:2" x14ac:dyDescent="0.25">
      <c r="B93" s="3" t="s">
        <v>145</v>
      </c>
    </row>
    <row r="94" spans="2:2" x14ac:dyDescent="0.25">
      <c r="B94" t="str">
        <f>B$2&amp;info!E86&amp;" "&amp;CHAR(34)&amp;B$3&amp;CHAR(39)&amp;B$4&amp;" 3 2 "&amp;info!D86&amp;" "&amp;info!E86&amp;" "&amp;B$6&amp;" "&amp;B$7&amp;" "&amp;C$7&amp;" "&amp;info!F86&amp;B$5&amp;CHAR(39)&amp;CHAR(34)</f>
        <v>ssh -i p2pstorage.pem ec2-user@172.31.29.142 "sh -c 'cd node; nohup ./startServer.sh 3 2 c81-c5-4xlarge 172.31.29.142 59001 0 2 c71-c5-4xlarge 172.31.28.114 59001 &gt; /dev/null 2&gt;&amp;1 &amp;'"</v>
      </c>
    </row>
    <row r="95" spans="2:2" x14ac:dyDescent="0.25">
      <c r="B95" t="str">
        <f>B$2&amp;info!E87&amp;" "&amp;CHAR(34)&amp;B$3&amp;CHAR(39)&amp;B$4&amp;" 3 2 "&amp;info!D87&amp;" "&amp;info!E87&amp;" "&amp;B$6&amp;" "&amp;B$7&amp;" "&amp;C$7&amp;" "&amp;info!F87&amp;B$5&amp;CHAR(39)&amp;CHAR(34)</f>
        <v>ssh -i p2pstorage.pem ec2-user@172.31.20.77 "sh -c 'cd node; nohup ./startServer.sh 3 2 c82-t2-small 172.31.20.77 59001 0 2 c81-c5-4xlarge 172.31.29.142 59001 &gt; /dev/null 2&gt;&amp;1 &amp;'"</v>
      </c>
    </row>
    <row r="96" spans="2:2" x14ac:dyDescent="0.25">
      <c r="B96" t="str">
        <f>B$2&amp;info!E88&amp;" "&amp;CHAR(34)&amp;B$3&amp;CHAR(39)&amp;B$4&amp;" 3 2 "&amp;info!D88&amp;" "&amp;info!E88&amp;" "&amp;B$6&amp;" "&amp;B$7&amp;" "&amp;C$7&amp;" "&amp;info!F88&amp;B$5&amp;CHAR(39)&amp;CHAR(34)</f>
        <v>ssh -i p2pstorage.pem ec2-user@172.31.20.25 "sh -c 'cd node; nohup ./startServer.sh 3 2 c83-t2-small 172.31.20.25 59001 0 2 c81-c5-4xlarge 172.31.29.142 59001 &gt; /dev/null 2&gt;&amp;1 &amp;'"</v>
      </c>
    </row>
    <row r="97" spans="2:2" x14ac:dyDescent="0.25">
      <c r="B97" t="str">
        <f>B$2&amp;info!E89&amp;" "&amp;CHAR(34)&amp;B$3&amp;CHAR(39)&amp;B$4&amp;" 3 2 "&amp;info!D89&amp;" "&amp;info!E89&amp;" "&amp;B$6&amp;" "&amp;B$7&amp;" "&amp;C$7&amp;" "&amp;info!F89&amp;B$5&amp;CHAR(39)&amp;CHAR(34)</f>
        <v>ssh -i p2pstorage.pem ec2-user@172.31.19.239 "sh -c 'cd node; nohup ./startServer.sh 3 2 c84-t2-small 172.31.19.239 59001 0 2 c81-c5-4xlarge 172.31.29.142 59001 &gt; /dev/null 2&gt;&amp;1 &amp;'"</v>
      </c>
    </row>
    <row r="98" spans="2:2" x14ac:dyDescent="0.25">
      <c r="B98" t="str">
        <f>B$2&amp;info!E90&amp;" "&amp;CHAR(34)&amp;B$3&amp;CHAR(39)&amp;B$4&amp;" 3 2 "&amp;info!D90&amp;" "&amp;info!E90&amp;" "&amp;B$6&amp;" "&amp;B$7&amp;" "&amp;C$7&amp;" "&amp;info!F90&amp;B$5&amp;CHAR(39)&amp;CHAR(34)</f>
        <v>ssh -i p2pstorage.pem ec2-user@172.31.23.251 "sh -c 'cd node; nohup ./startServer.sh 3 2 c85-t2-medium 172.31.23.251 59001 0 2 c81-c5-4xlarge 172.31.29.142 59001 &gt; /dev/null 2&gt;&amp;1 &amp;'"</v>
      </c>
    </row>
    <row r="99" spans="2:2" x14ac:dyDescent="0.25">
      <c r="B99" t="str">
        <f>B$2&amp;info!E91&amp;" "&amp;CHAR(34)&amp;B$3&amp;CHAR(39)&amp;B$4&amp;" 3 2 "&amp;info!D91&amp;" "&amp;info!E91&amp;" "&amp;B$6&amp;" "&amp;B$7&amp;" "&amp;C$7&amp;" "&amp;info!F91&amp;B$5&amp;CHAR(39)&amp;CHAR(34)</f>
        <v>ssh -i p2pstorage.pem ec2-user@172.31.16.43 "sh -c 'cd node; nohup ./startServer.sh 3 2 c86-t2-medium 172.31.16.43 59001 0 2 c81-c5-4xlarge 172.31.29.142 59001 &gt; /dev/null 2&gt;&amp;1 &amp;'"</v>
      </c>
    </row>
    <row r="100" spans="2:2" x14ac:dyDescent="0.25">
      <c r="B100" t="str">
        <f>B$2&amp;info!E92&amp;" "&amp;CHAR(34)&amp;B$3&amp;CHAR(39)&amp;B$4&amp;" 3 2 "&amp;info!D92&amp;" "&amp;info!E92&amp;" "&amp;B$6&amp;" "&amp;B$7&amp;" "&amp;C$7&amp;" "&amp;info!F92&amp;B$5&amp;CHAR(39)&amp;CHAR(34)</f>
        <v>ssh -i p2pstorage.pem ec2-user@172.31.21.110 "sh -c 'cd node; nohup ./startServer.sh 3 2 c87-t2-medium 172.31.21.110 59001 0 2 c81-c5-4xlarge 172.31.29.142 59001 &gt; /dev/null 2&gt;&amp;1 &amp;'"</v>
      </c>
    </row>
    <row r="101" spans="2:2" x14ac:dyDescent="0.25">
      <c r="B101" t="str">
        <f>B$2&amp;info!E93&amp;" "&amp;CHAR(34)&amp;B$3&amp;CHAR(39)&amp;B$4&amp;" 3 2 "&amp;info!D93&amp;" "&amp;info!E93&amp;" "&amp;B$6&amp;" "&amp;B$7&amp;" "&amp;C$7&amp;" "&amp;info!F93&amp;B$5&amp;CHAR(39)&amp;CHAR(34)</f>
        <v>ssh -i p2pstorage.pem ec2-user@172.31.24.55 "sh -c 'cd node; nohup ./startServer.sh 3 2 c88-c5-xlarge 172.31.24.55 59001 0 2 c81-c5-4xlarge 172.31.29.142 59001 &gt; /dev/null 2&gt;&amp;1 &amp;'"</v>
      </c>
    </row>
    <row r="102" spans="2:2" x14ac:dyDescent="0.25">
      <c r="B102" t="str">
        <f>B$2&amp;info!E94&amp;" "&amp;CHAR(34)&amp;B$3&amp;CHAR(39)&amp;B$4&amp;" 3 2 "&amp;info!D94&amp;" "&amp;info!E94&amp;" "&amp;B$6&amp;" "&amp;B$7&amp;" "&amp;C$7&amp;" "&amp;info!F94&amp;B$5&amp;CHAR(39)&amp;CHAR(34)</f>
        <v>ssh -i p2pstorage.pem ec2-user@172.31.31.148 "sh -c 'cd node; nohup ./startServer.sh 3 2 c89-c5-xlarge 172.31.31.148 59001 0 2 c81-c5-4xlarge 172.31.29.142 59001 &gt; /dev/null 2&gt;&amp;1 &amp;'"</v>
      </c>
    </row>
    <row r="103" spans="2:2" x14ac:dyDescent="0.25">
      <c r="B103" t="str">
        <f>B$2&amp;info!E95&amp;" "&amp;CHAR(34)&amp;B$3&amp;CHAR(39)&amp;B$4&amp;" 3 2 "&amp;info!D95&amp;" "&amp;info!E95&amp;" "&amp;B$6&amp;" "&amp;B$7&amp;" "&amp;C$7&amp;" "&amp;info!F95&amp;B$5&amp;CHAR(39)&amp;CHAR(34)</f>
        <v>ssh -i p2pstorage.pem ec2-user@172.31.25.125 "sh -c 'cd node; nohup ./startServer.sh 3 2 c90-c5-2xlarge 172.31.25.125 59001 0 2 c81-c5-4xlarge 172.31.29.142 59001 &gt; /dev/null 2&gt;&amp;1 &amp;'"</v>
      </c>
    </row>
    <row r="104" spans="2:2" x14ac:dyDescent="0.25">
      <c r="B104" t="str">
        <f>B$2&amp;info!E96&amp;" "&amp;CHAR(34)&amp;B$3&amp;CHAR(39)&amp;B$4&amp;" 3 2 "&amp;info!D96&amp;" "&amp;info!E96&amp;" "&amp;B$6&amp;" "&amp;B$7&amp;" "&amp;C$7&amp;" "&amp;info!F96&amp;B$5&amp;CHAR(39)&amp;CHAR(34)</f>
        <v>ssh -i p2pstorage.pem ec2-user@172.31.22.253 "sh -c 'cd node; nohup ./startServer.sh 3 2 c91-c5-4xlarge 172.31.22.253 59001 0 2 c81-c5-4xlarge 172.31.29.142 59001 &gt; /dev/null 2&gt;&amp;1 &amp;'"</v>
      </c>
    </row>
    <row r="105" spans="2:2" x14ac:dyDescent="0.25">
      <c r="B105" t="str">
        <f>B$2&amp;info!E97&amp;" "&amp;CHAR(34)&amp;B$3&amp;CHAR(39)&amp;B$4&amp;" 3 2 "&amp;info!D97&amp;" "&amp;info!E97&amp;" "&amp;B$6&amp;" "&amp;B$7&amp;" "&amp;C$7&amp;" "&amp;info!F97&amp;B$5&amp;CHAR(39)&amp;CHAR(34)</f>
        <v>ssh -i p2pstorage.pem ec2-user@172.31.20.255 "sh -c 'cd node; nohup ./startServer.sh 3 2 c92-t2-small 172.31.20.255 59001 0 2 c91-c5-4xlarge 172.31.22.253 59001 &gt; /dev/null 2&gt;&amp;1 &amp;'"</v>
      </c>
    </row>
    <row r="106" spans="2:2" x14ac:dyDescent="0.25">
      <c r="B106" t="str">
        <f>B$2&amp;info!E98&amp;" "&amp;CHAR(34)&amp;B$3&amp;CHAR(39)&amp;B$4&amp;" 3 2 "&amp;info!D98&amp;" "&amp;info!E98&amp;" "&amp;B$6&amp;" "&amp;B$7&amp;" "&amp;C$7&amp;" "&amp;info!F98&amp;B$5&amp;CHAR(39)&amp;CHAR(34)</f>
        <v>ssh -i p2pstorage.pem ec2-user@172.31.18.234 "sh -c 'cd node; nohup ./startServer.sh 3 2 c93-t2-small 172.31.18.234 59001 0 2 c91-c5-4xlarge 172.31.22.253 59001 &gt; /dev/null 2&gt;&amp;1 &amp;'"</v>
      </c>
    </row>
    <row r="107" spans="2:2" x14ac:dyDescent="0.25">
      <c r="B107" t="str">
        <f>B$2&amp;info!E99&amp;" "&amp;CHAR(34)&amp;B$3&amp;CHAR(39)&amp;B$4&amp;" 3 2 "&amp;info!D99&amp;" "&amp;info!E99&amp;" "&amp;B$6&amp;" "&amp;B$7&amp;" "&amp;C$7&amp;" "&amp;info!F99&amp;B$5&amp;CHAR(39)&amp;CHAR(34)</f>
        <v>ssh -i p2pstorage.pem ec2-user@172.31.29.186 "sh -c 'cd node; nohup ./startServer.sh 3 2 c94-t2-small 172.31.29.186 59001 0 2 c91-c5-4xlarge 172.31.22.253 59001 &gt; /dev/null 2&gt;&amp;1 &amp;'"</v>
      </c>
    </row>
    <row r="108" spans="2:2" x14ac:dyDescent="0.25">
      <c r="B108" t="str">
        <f>B$2&amp;info!E100&amp;" "&amp;CHAR(34)&amp;B$3&amp;CHAR(39)&amp;B$4&amp;" 3 2 "&amp;info!D100&amp;" "&amp;info!E100&amp;" "&amp;B$6&amp;" "&amp;B$7&amp;" "&amp;C$7&amp;" "&amp;info!F100&amp;B$5&amp;CHAR(39)&amp;CHAR(34)</f>
        <v>ssh -i p2pstorage.pem ec2-user@172.31.31.15 "sh -c 'cd node; nohup ./startServer.sh 3 2 c95-t2-medium 172.31.31.15 59001 0 2 c91-c5-4xlarge 172.31.22.253 59001 &gt; /dev/null 2&gt;&amp;1 &amp;'"</v>
      </c>
    </row>
    <row r="109" spans="2:2" x14ac:dyDescent="0.25">
      <c r="B109" t="str">
        <f>B$2&amp;info!E101&amp;" "&amp;CHAR(34)&amp;B$3&amp;CHAR(39)&amp;B$4&amp;" 3 2 "&amp;info!D101&amp;" "&amp;info!E101&amp;" "&amp;B$6&amp;" "&amp;B$7&amp;" "&amp;C$7&amp;" "&amp;info!F101&amp;B$5&amp;CHAR(39)&amp;CHAR(34)</f>
        <v>ssh -i p2pstorage.pem ec2-user@172.31.25.144 "sh -c 'cd node; nohup ./startServer.sh 3 2 c96-t2-medium 172.31.25.144 59001 0 2 c91-c5-4xlarge 172.31.22.253 59001 &gt; /dev/null 2&gt;&amp;1 &amp;'"</v>
      </c>
    </row>
    <row r="110" spans="2:2" x14ac:dyDescent="0.25">
      <c r="B110" t="str">
        <f>B$2&amp;info!E102&amp;" "&amp;CHAR(34)&amp;B$3&amp;CHAR(39)&amp;B$4&amp;" 3 2 "&amp;info!D102&amp;" "&amp;info!E102&amp;" "&amp;B$6&amp;" "&amp;B$7&amp;" "&amp;C$7&amp;" "&amp;info!F102&amp;B$5&amp;CHAR(39)&amp;CHAR(34)</f>
        <v>ssh -i p2pstorage.pem ec2-user@172.31.20.104 "sh -c 'cd node; nohup ./startServer.sh 3 2 c97-t2-medium 172.31.20.104 59001 0 2 c91-c5-4xlarge 172.31.22.253 59001 &gt; /dev/null 2&gt;&amp;1 &amp;'"</v>
      </c>
    </row>
    <row r="111" spans="2:2" x14ac:dyDescent="0.25">
      <c r="B111" t="str">
        <f>B$2&amp;info!E103&amp;" "&amp;CHAR(34)&amp;B$3&amp;CHAR(39)&amp;B$4&amp;" 3 2 "&amp;info!D103&amp;" "&amp;info!E103&amp;" "&amp;B$6&amp;" "&amp;B$7&amp;" "&amp;C$7&amp;" "&amp;info!F103&amp;B$5&amp;CHAR(39)&amp;CHAR(34)</f>
        <v>ssh -i p2pstorage.pem ec2-user@172.31.25.100 "sh -c 'cd node; nohup ./startServer.sh 3 2 c98-c5-xlarge 172.31.25.100 59001 0 2 c91-c5-4xlarge 172.31.22.253 59001 &gt; /dev/null 2&gt;&amp;1 &amp;'"</v>
      </c>
    </row>
    <row r="112" spans="2:2" x14ac:dyDescent="0.25">
      <c r="B112" t="str">
        <f>B$2&amp;info!E104&amp;" "&amp;CHAR(34)&amp;B$3&amp;CHAR(39)&amp;B$4&amp;" 3 2 "&amp;info!D104&amp;" "&amp;info!E104&amp;" "&amp;B$6&amp;" "&amp;B$7&amp;" "&amp;C$7&amp;" "&amp;info!F104&amp;B$5&amp;CHAR(39)&amp;CHAR(34)</f>
        <v>ssh -i p2pstorage.pem ec2-user@172.31.25.167 "sh -c 'cd node; nohup ./startServer.sh 3 2 c99-c5-xlarge 172.31.25.167 59001 0 2 c91-c5-4xlarge 172.31.22.253 59001 &gt; /dev/null 2&gt;&amp;1 &amp;'"</v>
      </c>
    </row>
    <row r="113" spans="2:2" x14ac:dyDescent="0.25">
      <c r="B113" t="str">
        <f>B$2&amp;info!E105&amp;" "&amp;CHAR(34)&amp;B$3&amp;CHAR(39)&amp;B$4&amp;" 3 2 "&amp;info!D105&amp;" "&amp;info!E105&amp;" "&amp;B$6&amp;" "&amp;B$7&amp;" "&amp;C$7&amp;" "&amp;info!F105&amp;B$5&amp;CHAR(39)&amp;CHAR(34)</f>
        <v>ssh -i p2pstorage.pem ec2-user@172.31.28.55 "sh -c 'cd node; nohup ./startServer.sh 3 2 c100-c5-2xlarge 172.31.28.55 59001 0 2 c91-c5-4xlarge 172.31.22.253 59001 &gt; /dev/null 2&gt;&amp;1 &amp;'"</v>
      </c>
    </row>
    <row r="114" spans="2:2" x14ac:dyDescent="0.25">
      <c r="B114" s="3" t="s">
        <v>145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3F25-4673-48E5-BE2B-1892CD1D622E}">
  <dimension ref="B2:C114"/>
  <sheetViews>
    <sheetView topLeftCell="A88" workbookViewId="0">
      <selection activeCell="B9" sqref="B9:B114"/>
    </sheetView>
  </sheetViews>
  <sheetFormatPr defaultRowHeight="15" x14ac:dyDescent="0.25"/>
  <sheetData>
    <row r="2" spans="2:3" x14ac:dyDescent="0.25">
      <c r="B2" t="s">
        <v>34</v>
      </c>
    </row>
    <row r="3" spans="2:3" x14ac:dyDescent="0.25">
      <c r="B3" t="s">
        <v>35</v>
      </c>
    </row>
    <row r="4" spans="2:3" x14ac:dyDescent="0.25">
      <c r="B4" t="s">
        <v>153</v>
      </c>
    </row>
    <row r="5" spans="2:3" x14ac:dyDescent="0.25">
      <c r="B5" t="s">
        <v>37</v>
      </c>
    </row>
    <row r="6" spans="2:3" x14ac:dyDescent="0.25">
      <c r="B6">
        <v>59001</v>
      </c>
    </row>
    <row r="7" spans="2:3" x14ac:dyDescent="0.25">
      <c r="B7">
        <v>0</v>
      </c>
      <c r="C7">
        <v>2</v>
      </c>
    </row>
    <row r="9" spans="2:3" x14ac:dyDescent="0.25">
      <c r="B9" t="str">
        <f>B$2&amp;info!E2&amp;" "&amp;CHAR(34)&amp;B$3&amp;CHAR(39)&amp;B$4&amp;" 4 1 "&amp;info!D2&amp;" "&amp;info!E2&amp;" "&amp;B$6&amp;" "&amp;B$7&amp;" "&amp;C$7&amp;" "&amp;info!F2&amp;B$5&amp;CHAR(39)&amp;CHAR(34)</f>
        <v>ssh -i p2pstorage.pem ec2-user@172.31.16.10 "sh -c 'cd node; nohup ./startServer.sh 4 1 c01-c5-4xlarge 172.31.16.10 59001 0 2 0 0 0 &gt; /dev/null 2&gt;&amp;1 &amp;'"</v>
      </c>
    </row>
    <row r="10" spans="2:3" x14ac:dyDescent="0.25">
      <c r="B10" s="3" t="s">
        <v>144</v>
      </c>
    </row>
    <row r="11" spans="2:3" x14ac:dyDescent="0.25">
      <c r="B11" t="str">
        <f>B$2&amp;info!E3&amp;" "&amp;CHAR(34)&amp;B$3&amp;CHAR(39)&amp;B$4&amp;" 4 2 "&amp;info!D3&amp;" "&amp;info!E3&amp;" "&amp;B$6&amp;" "&amp;B$7&amp;" "&amp;C$7&amp;" "&amp;info!F3&amp;B$5&amp;CHAR(39)&amp;CHAR(34)</f>
        <v>ssh -i p2pstorage.pem ec2-user@172.31.27.28 "sh -c 'cd node; nohup ./startServer.sh 4 2 c02-t2-small 172.31.27.28 59001 0 2 c01-c5-4xlarge 172.31.16.10 59001 &gt; /dev/null 2&gt;&amp;1 &amp;'"</v>
      </c>
    </row>
    <row r="12" spans="2:3" x14ac:dyDescent="0.25">
      <c r="B12" t="str">
        <f>B$2&amp;info!E4&amp;" "&amp;CHAR(34)&amp;B$3&amp;CHAR(39)&amp;B$4&amp;" 4 2 "&amp;info!D4&amp;" "&amp;info!E4&amp;" "&amp;B$6&amp;" "&amp;B$7&amp;" "&amp;C$7&amp;" "&amp;info!F4&amp;B$5&amp;CHAR(39)&amp;CHAR(34)</f>
        <v>ssh -i p2pstorage.pem ec2-user@172.31.24.48 "sh -c 'cd node; nohup ./startServer.sh 4 2 c03-t2-small 172.31.24.48 59001 0 2 c01-c5-4xlarge 172.31.16.10 59001 &gt; /dev/null 2&gt;&amp;1 &amp;'"</v>
      </c>
    </row>
    <row r="13" spans="2:3" x14ac:dyDescent="0.25">
      <c r="B13" t="str">
        <f>B$2&amp;info!E5&amp;" "&amp;CHAR(34)&amp;B$3&amp;CHAR(39)&amp;B$4&amp;" 4 2 "&amp;info!D5&amp;" "&amp;info!E5&amp;" "&amp;B$6&amp;" "&amp;B$7&amp;" "&amp;C$7&amp;" "&amp;info!F5&amp;B$5&amp;CHAR(39)&amp;CHAR(34)</f>
        <v>ssh -i p2pstorage.pem ec2-user@172.31.19.20 "sh -c 'cd node; nohup ./startServer.sh 4 2 c04-t2-small 172.31.19.20 59001 0 2 c01-c5-4xlarge 172.31.16.10 59001 &gt; /dev/null 2&gt;&amp;1 &amp;'"</v>
      </c>
    </row>
    <row r="14" spans="2:3" x14ac:dyDescent="0.25">
      <c r="B14" t="str">
        <f>B$2&amp;info!E6&amp;" "&amp;CHAR(34)&amp;B$3&amp;CHAR(39)&amp;B$4&amp;" 4 2 "&amp;info!D6&amp;" "&amp;info!E6&amp;" "&amp;B$6&amp;" "&amp;B$7&amp;" "&amp;C$7&amp;" "&amp;info!F6&amp;B$5&amp;CHAR(39)&amp;CHAR(34)</f>
        <v>ssh -i p2pstorage.pem ec2-user@172.31.21.44 "sh -c 'cd node; nohup ./startServer.sh 4 2 c05-t2-medium 172.31.21.44 59001 0 2 c01-c5-4xlarge 172.31.16.10 59001 &gt; /dev/null 2&gt;&amp;1 &amp;'"</v>
      </c>
    </row>
    <row r="15" spans="2:3" x14ac:dyDescent="0.25">
      <c r="B15" t="str">
        <f>B$2&amp;info!E7&amp;" "&amp;CHAR(34)&amp;B$3&amp;CHAR(39)&amp;B$4&amp;" 4 2 "&amp;info!D7&amp;" "&amp;info!E7&amp;" "&amp;B$6&amp;" "&amp;B$7&amp;" "&amp;C$7&amp;" "&amp;info!F7&amp;B$5&amp;CHAR(39)&amp;CHAR(34)</f>
        <v>ssh -i p2pstorage.pem ec2-user@172.31.42.48 "sh -c 'cd node; nohup ./startServer.sh 4 2 c06-t2-medium 172.31.42.48 59001 0 2 c01-c5-4xlarge 172.31.16.10 59001 &gt; /dev/null 2&gt;&amp;1 &amp;'"</v>
      </c>
    </row>
    <row r="16" spans="2:3" x14ac:dyDescent="0.25">
      <c r="B16" t="str">
        <f>B$2&amp;info!E8&amp;" "&amp;CHAR(34)&amp;B$3&amp;CHAR(39)&amp;B$4&amp;" 4 2 "&amp;info!D8&amp;" "&amp;info!E8&amp;" "&amp;B$6&amp;" "&amp;B$7&amp;" "&amp;C$7&amp;" "&amp;info!F8&amp;B$5&amp;CHAR(39)&amp;CHAR(34)</f>
        <v>ssh -i p2pstorage.pem ec2-user@172.31.6.148 "sh -c 'cd node; nohup ./startServer.sh 4 2 c07-t2-medium 172.31.6.148 59001 0 2 c01-c5-4xlarge 172.31.16.10 59001 &gt; /dev/null 2&gt;&amp;1 &amp;'"</v>
      </c>
    </row>
    <row r="17" spans="2:2" x14ac:dyDescent="0.25">
      <c r="B17" t="str">
        <f>B$2&amp;info!E9&amp;" "&amp;CHAR(34)&amp;B$3&amp;CHAR(39)&amp;B$4&amp;" 4 2 "&amp;info!D9&amp;" "&amp;info!E9&amp;" "&amp;B$6&amp;" "&amp;B$7&amp;" "&amp;C$7&amp;" "&amp;info!F9&amp;B$5&amp;CHAR(39)&amp;CHAR(34)</f>
        <v>ssh -i p2pstorage.pem ec2-user@172.31.21.20 "sh -c 'cd node; nohup ./startServer.sh 4 2 c08-c5-xlarge 172.31.21.20 59001 0 2 c01-c5-4xlarge 172.31.16.10 59001 &gt; /dev/null 2&gt;&amp;1 &amp;'"</v>
      </c>
    </row>
    <row r="18" spans="2:2" x14ac:dyDescent="0.25">
      <c r="B18" t="str">
        <f>B$2&amp;info!E10&amp;" "&amp;CHAR(34)&amp;B$3&amp;CHAR(39)&amp;B$4&amp;" 4 2 "&amp;info!D10&amp;" "&amp;info!E10&amp;" "&amp;B$6&amp;" "&amp;B$7&amp;" "&amp;C$7&amp;" "&amp;info!F10&amp;B$5&amp;CHAR(39)&amp;CHAR(34)</f>
        <v>ssh -i p2pstorage.pem ec2-user@172.31.29.51 "sh -c 'cd node; nohup ./startServer.sh 4 2 c09-c5-xlarge 172.31.29.51 59001 0 2 c01-c5-4xlarge 172.31.16.10 59001 &gt; /dev/null 2&gt;&amp;1 &amp;'"</v>
      </c>
    </row>
    <row r="19" spans="2:2" x14ac:dyDescent="0.25">
      <c r="B19" t="str">
        <f>B$2&amp;info!E11&amp;" "&amp;CHAR(34)&amp;B$3&amp;CHAR(39)&amp;B$4&amp;" 4 2 "&amp;info!D11&amp;" "&amp;info!E11&amp;" "&amp;B$6&amp;" "&amp;B$7&amp;" "&amp;C$7&amp;" "&amp;info!F11&amp;B$5&amp;CHAR(39)&amp;CHAR(34)</f>
        <v>ssh -i p2pstorage.pem ec2-user@172.31.27.113 "sh -c 'cd node; nohup ./startServer.sh 4 2 c10-c5-2xlarge 172.31.27.113 59001 0 2 c01-c5-4xlarge 172.31.16.10 59001 &gt; /dev/null 2&gt;&amp;1 &amp;'"</v>
      </c>
    </row>
    <row r="20" spans="2:2" x14ac:dyDescent="0.25">
      <c r="B20" t="str">
        <f>B$2&amp;info!E12&amp;" "&amp;CHAR(34)&amp;B$3&amp;CHAR(39)&amp;B$4&amp;" 4 2 "&amp;info!D12&amp;" "&amp;info!E12&amp;" "&amp;B$6&amp;" "&amp;B$7&amp;" "&amp;C$7&amp;" "&amp;info!F12&amp;B$5&amp;CHAR(39)&amp;CHAR(34)</f>
        <v>ssh -i p2pstorage.pem ec2-user@172.31.31.235 "sh -c 'cd node; nohup ./startServer.sh 4 2 c11-c5-4xlarge 172.31.31.235 59001 0 2 c01-c5-4xlarge 172.31.16.10 59001 &gt; /dev/null 2&gt;&amp;1 &amp;'"</v>
      </c>
    </row>
    <row r="21" spans="2:2" x14ac:dyDescent="0.25">
      <c r="B21" t="str">
        <f>B$2&amp;info!E13&amp;" "&amp;CHAR(34)&amp;B$3&amp;CHAR(39)&amp;B$4&amp;" 4 2 "&amp;info!D13&amp;" "&amp;info!E13&amp;" "&amp;B$6&amp;" "&amp;B$7&amp;" "&amp;C$7&amp;" "&amp;info!F13&amp;B$5&amp;CHAR(39)&amp;CHAR(34)</f>
        <v>ssh -i p2pstorage.pem ec2-user@172.31.23.24 "sh -c 'cd node; nohup ./startServer.sh 4 2 c12-t2-small 172.31.23.24 59001 0 2 c11-c5-4xlarge 172.31.21.44 59001 &gt; /dev/null 2&gt;&amp;1 &amp;'"</v>
      </c>
    </row>
    <row r="22" spans="2:2" x14ac:dyDescent="0.25">
      <c r="B22" t="str">
        <f>B$2&amp;info!E14&amp;" "&amp;CHAR(34)&amp;B$3&amp;CHAR(39)&amp;B$4&amp;" 4 2 "&amp;info!D14&amp;" "&amp;info!E14&amp;" "&amp;B$6&amp;" "&amp;B$7&amp;" "&amp;C$7&amp;" "&amp;info!F14&amp;B$5&amp;CHAR(39)&amp;CHAR(34)</f>
        <v>ssh -i p2pstorage.pem ec2-user@172.31.28.220 "sh -c 'cd node; nohup ./startServer.sh 4 2 c13-t2-small 172.31.28.220 59001 0 2 c11-c5-4xlarge 172.31.21.44 59001 &gt; /dev/null 2&gt;&amp;1 &amp;'"</v>
      </c>
    </row>
    <row r="23" spans="2:2" x14ac:dyDescent="0.25">
      <c r="B23" t="str">
        <f>B$2&amp;info!E15&amp;" "&amp;CHAR(34)&amp;B$3&amp;CHAR(39)&amp;B$4&amp;" 4 2 "&amp;info!D15&amp;" "&amp;info!E15&amp;" "&amp;B$6&amp;" "&amp;B$7&amp;" "&amp;C$7&amp;" "&amp;info!F15&amp;B$5&amp;CHAR(39)&amp;CHAR(34)</f>
        <v>ssh -i p2pstorage.pem ec2-user@172.31.28.38 "sh -c 'cd node; nohup ./startServer.sh 4 2 c14-t2-small 172.31.28.38 59001 0 2 c11-c5-4xlarge 172.31.21.44 59001 &gt; /dev/null 2&gt;&amp;1 &amp;'"</v>
      </c>
    </row>
    <row r="24" spans="2:2" x14ac:dyDescent="0.25">
      <c r="B24" t="str">
        <f>B$2&amp;info!E16&amp;" "&amp;CHAR(34)&amp;B$3&amp;CHAR(39)&amp;B$4&amp;" 4 2 "&amp;info!D16&amp;" "&amp;info!E16&amp;" "&amp;B$6&amp;" "&amp;B$7&amp;" "&amp;C$7&amp;" "&amp;info!F16&amp;B$5&amp;CHAR(39)&amp;CHAR(34)</f>
        <v>ssh -i p2pstorage.pem ec2-user@172.31.31.7 "sh -c 'cd node; nohup ./startServer.sh 4 2 c15-t2-medium 172.31.31.7 59001 0 2 c11-c5-4xlarge 172.31.21.44 59001 &gt; /dev/null 2&gt;&amp;1 &amp;'"</v>
      </c>
    </row>
    <row r="25" spans="2:2" x14ac:dyDescent="0.25">
      <c r="B25" t="str">
        <f>B$2&amp;info!E17&amp;" "&amp;CHAR(34)&amp;B$3&amp;CHAR(39)&amp;B$4&amp;" 4 2 "&amp;info!D17&amp;" "&amp;info!E17&amp;" "&amp;B$6&amp;" "&amp;B$7&amp;" "&amp;C$7&amp;" "&amp;info!F17&amp;B$5&amp;CHAR(39)&amp;CHAR(34)</f>
        <v>ssh -i p2pstorage.pem ec2-user@172.31.19.38 "sh -c 'cd node; nohup ./startServer.sh 4 2 c16-t2-medium 172.31.19.38 59001 0 2 c11-c5-4xlarge 172.31.21.44 59001 &gt; /dev/null 2&gt;&amp;1 &amp;'"</v>
      </c>
    </row>
    <row r="26" spans="2:2" x14ac:dyDescent="0.25">
      <c r="B26" t="str">
        <f>B$2&amp;info!E18&amp;" "&amp;CHAR(34)&amp;B$3&amp;CHAR(39)&amp;B$4&amp;" 4 2 "&amp;info!D18&amp;" "&amp;info!E18&amp;" "&amp;B$6&amp;" "&amp;B$7&amp;" "&amp;C$7&amp;" "&amp;info!F18&amp;B$5&amp;CHAR(39)&amp;CHAR(34)</f>
        <v>ssh -i p2pstorage.pem ec2-user@172.31.19.160 "sh -c 'cd node; nohup ./startServer.sh 4 2 c17-t2-medium 172.31.19.160 59001 0 2 c11-c5-4xlarge 172.31.21.44 59001 &gt; /dev/null 2&gt;&amp;1 &amp;'"</v>
      </c>
    </row>
    <row r="27" spans="2:2" x14ac:dyDescent="0.25">
      <c r="B27" t="str">
        <f>B$2&amp;info!E19&amp;" "&amp;CHAR(34)&amp;B$3&amp;CHAR(39)&amp;B$4&amp;" 4 2 "&amp;info!D19&amp;" "&amp;info!E19&amp;" "&amp;B$6&amp;" "&amp;B$7&amp;" "&amp;C$7&amp;" "&amp;info!F19&amp;B$5&amp;CHAR(39)&amp;CHAR(34)</f>
        <v>ssh -i p2pstorage.pem ec2-user@172.31.16.91 "sh -c 'cd node; nohup ./startServer.sh 4 2 c18-c5-xlarge 172.31.16.91 59001 0 2 c11-c5-4xlarge 172.31.21.44 59001 &gt; /dev/null 2&gt;&amp;1 &amp;'"</v>
      </c>
    </row>
    <row r="28" spans="2:2" x14ac:dyDescent="0.25">
      <c r="B28" t="str">
        <f>B$2&amp;info!E20&amp;" "&amp;CHAR(34)&amp;B$3&amp;CHAR(39)&amp;B$4&amp;" 4 2 "&amp;info!D20&amp;" "&amp;info!E20&amp;" "&amp;B$6&amp;" "&amp;B$7&amp;" "&amp;C$7&amp;" "&amp;info!F20&amp;B$5&amp;CHAR(39)&amp;CHAR(34)</f>
        <v>ssh -i p2pstorage.pem ec2-user@172.31.22.207 "sh -c 'cd node; nohup ./startServer.sh 4 2 c19-c5-xlarge 172.31.22.207 59001 0 2 c11-c5-4xlarge 172.31.21.44 59001 &gt; /dev/null 2&gt;&amp;1 &amp;'"</v>
      </c>
    </row>
    <row r="29" spans="2:2" x14ac:dyDescent="0.25">
      <c r="B29" t="str">
        <f>B$2&amp;info!E21&amp;" "&amp;CHAR(34)&amp;B$3&amp;CHAR(39)&amp;B$4&amp;" 4 2 "&amp;info!D21&amp;" "&amp;info!E21&amp;" "&amp;B$6&amp;" "&amp;B$7&amp;" "&amp;C$7&amp;" "&amp;info!F21&amp;B$5&amp;CHAR(39)&amp;CHAR(34)</f>
        <v>ssh -i p2pstorage.pem ec2-user@172.31.25.39 "sh -c 'cd node; nohup ./startServer.sh 4 2 c20-c5-2xlarge 172.31.25.39 59001 0 2 c11-c5-4xlarge 172.31.21.44 59001 &gt; /dev/null 2&gt;&amp;1 &amp;'"</v>
      </c>
    </row>
    <row r="30" spans="2:2" x14ac:dyDescent="0.25">
      <c r="B30" s="3" t="s">
        <v>145</v>
      </c>
    </row>
    <row r="31" spans="2:2" x14ac:dyDescent="0.25">
      <c r="B31" t="str">
        <f>B$2&amp;info!E23&amp;" "&amp;CHAR(34)&amp;B$3&amp;CHAR(39)&amp;B$4&amp;" 4 2 "&amp;info!D23&amp;" "&amp;info!E23&amp;" "&amp;B$6&amp;" "&amp;B$7&amp;" "&amp;C$7&amp;" "&amp;info!F23&amp;B$5&amp;CHAR(39)&amp;CHAR(34)</f>
        <v>ssh -i p2pstorage.pem ec2-user@172.31.18.213 "sh -c 'cd node; nohup ./startServer.sh 4 2 c21-c5-4xlarge 172.31.18.213 59001 0 2 c11-c5-4xlarge 172.31.21.44 59001 &gt; /dev/null 2&gt;&amp;1 &amp;'"</v>
      </c>
    </row>
    <row r="32" spans="2:2" x14ac:dyDescent="0.25">
      <c r="B32" t="str">
        <f>B$2&amp;info!E24&amp;" "&amp;CHAR(34)&amp;B$3&amp;CHAR(39)&amp;B$4&amp;" 4 2 "&amp;info!D24&amp;" "&amp;info!E24&amp;" "&amp;B$6&amp;" "&amp;B$7&amp;" "&amp;C$7&amp;" "&amp;info!F24&amp;B$5&amp;CHAR(39)&amp;CHAR(34)</f>
        <v>ssh -i p2pstorage.pem ec2-user@172.31.23.72 "sh -c 'cd node; nohup ./startServer.sh 4 2 c22-t2-small 172.31.23.72 59001 0 2 c21-c5-4xlarge 172.31.18.213 59001 &gt; /dev/null 2&gt;&amp;1 &amp;'"</v>
      </c>
    </row>
    <row r="33" spans="2:2" x14ac:dyDescent="0.25">
      <c r="B33" t="str">
        <f>B$2&amp;info!E25&amp;" "&amp;CHAR(34)&amp;B$3&amp;CHAR(39)&amp;B$4&amp;" 4 2 "&amp;info!D25&amp;" "&amp;info!E25&amp;" "&amp;B$6&amp;" "&amp;B$7&amp;" "&amp;C$7&amp;" "&amp;info!F25&amp;B$5&amp;CHAR(39)&amp;CHAR(34)</f>
        <v>ssh -i p2pstorage.pem ec2-user@172.31.31.24 "sh -c 'cd node; nohup ./startServer.sh 4 2 c23-t2-small 172.31.31.24 59001 0 2 c21-c5-4xlarge 172.31.18.213 59001 &gt; /dev/null 2&gt;&amp;1 &amp;'"</v>
      </c>
    </row>
    <row r="34" spans="2:2" x14ac:dyDescent="0.25">
      <c r="B34" t="str">
        <f>B$2&amp;info!E26&amp;" "&amp;CHAR(34)&amp;B$3&amp;CHAR(39)&amp;B$4&amp;" 4 2 "&amp;info!D26&amp;" "&amp;info!E26&amp;" "&amp;B$6&amp;" "&amp;B$7&amp;" "&amp;C$7&amp;" "&amp;info!F26&amp;B$5&amp;CHAR(39)&amp;CHAR(34)</f>
        <v>ssh -i p2pstorage.pem ec2-user@172.31.27.58 "sh -c 'cd node; nohup ./startServer.sh 4 2 c24-t2-small 172.31.27.58 59001 0 2 c21-c5-4xlarge 172.31.18.213 59001 &gt; /dev/null 2&gt;&amp;1 &amp;'"</v>
      </c>
    </row>
    <row r="35" spans="2:2" x14ac:dyDescent="0.25">
      <c r="B35" t="str">
        <f>B$2&amp;info!E27&amp;" "&amp;CHAR(34)&amp;B$3&amp;CHAR(39)&amp;B$4&amp;" 4 2 "&amp;info!D27&amp;" "&amp;info!E27&amp;" "&amp;B$6&amp;" "&amp;B$7&amp;" "&amp;C$7&amp;" "&amp;info!F27&amp;B$5&amp;CHAR(39)&amp;CHAR(34)</f>
        <v>ssh -i p2pstorage.pem ec2-user@172.31.17.169 "sh -c 'cd node; nohup ./startServer.sh 4 2 c25-t2-medium 172.31.17.169 59001 0 2 c21-c5-4xlarge 172.31.18.213 59001 &gt; /dev/null 2&gt;&amp;1 &amp;'"</v>
      </c>
    </row>
    <row r="36" spans="2:2" x14ac:dyDescent="0.25">
      <c r="B36" t="str">
        <f>B$2&amp;info!E28&amp;" "&amp;CHAR(34)&amp;B$3&amp;CHAR(39)&amp;B$4&amp;" 4 2 "&amp;info!D28&amp;" "&amp;info!E28&amp;" "&amp;B$6&amp;" "&amp;B$7&amp;" "&amp;C$7&amp;" "&amp;info!F28&amp;B$5&amp;CHAR(39)&amp;CHAR(34)</f>
        <v>ssh -i p2pstorage.pem ec2-user@172.31.28.12 "sh -c 'cd node; nohup ./startServer.sh 4 2 c26-t2-medium 172.31.28.12 59001 0 2 c21-c5-4xlarge 172.31.18.213 59001 &gt; /dev/null 2&gt;&amp;1 &amp;'"</v>
      </c>
    </row>
    <row r="37" spans="2:2" x14ac:dyDescent="0.25">
      <c r="B37" t="str">
        <f>B$2&amp;info!E29&amp;" "&amp;CHAR(34)&amp;B$3&amp;CHAR(39)&amp;B$4&amp;" 4 2 "&amp;info!D29&amp;" "&amp;info!E29&amp;" "&amp;B$6&amp;" "&amp;B$7&amp;" "&amp;C$7&amp;" "&amp;info!F29&amp;B$5&amp;CHAR(39)&amp;CHAR(34)</f>
        <v>ssh -i p2pstorage.pem ec2-user@172.31.20.85 "sh -c 'cd node; nohup ./startServer.sh 4 2 c27-t2-medium 172.31.20.85 59001 0 2 c21-c5-4xlarge 172.31.18.213 59001 &gt; /dev/null 2&gt;&amp;1 &amp;'"</v>
      </c>
    </row>
    <row r="38" spans="2:2" x14ac:dyDescent="0.25">
      <c r="B38" t="str">
        <f>B$2&amp;info!E30&amp;" "&amp;CHAR(34)&amp;B$3&amp;CHAR(39)&amp;B$4&amp;" 4 2 "&amp;info!D30&amp;" "&amp;info!E30&amp;" "&amp;B$6&amp;" "&amp;B$7&amp;" "&amp;C$7&amp;" "&amp;info!F30&amp;B$5&amp;CHAR(39)&amp;CHAR(34)</f>
        <v>ssh -i p2pstorage.pem ec2-user@172.31.24.7 "sh -c 'cd node; nohup ./startServer.sh 4 2 c28-c5-xlarge 172.31.24.7 59001 0 2 c21-c5-4xlarge 172.31.18.213 59001 &gt; /dev/null 2&gt;&amp;1 &amp;'"</v>
      </c>
    </row>
    <row r="39" spans="2:2" x14ac:dyDescent="0.25">
      <c r="B39" t="str">
        <f>B$2&amp;info!E31&amp;" "&amp;CHAR(34)&amp;B$3&amp;CHAR(39)&amp;B$4&amp;" 4 2 "&amp;info!D31&amp;" "&amp;info!E31&amp;" "&amp;B$6&amp;" "&amp;B$7&amp;" "&amp;C$7&amp;" "&amp;info!F31&amp;B$5&amp;CHAR(39)&amp;CHAR(34)</f>
        <v>ssh -i p2pstorage.pem ec2-user@172.31.29.177 "sh -c 'cd node; nohup ./startServer.sh 4 2 c29-c5-xlarge 172.31.29.177 59001 0 2 c21-c5-4xlarge 172.31.18.213 59001 &gt; /dev/null 2&gt;&amp;1 &amp;'"</v>
      </c>
    </row>
    <row r="40" spans="2:2" x14ac:dyDescent="0.25">
      <c r="B40" t="str">
        <f>B$2&amp;info!E32&amp;" "&amp;CHAR(34)&amp;B$3&amp;CHAR(39)&amp;B$4&amp;" 4 2 "&amp;info!D32&amp;" "&amp;info!E32&amp;" "&amp;B$6&amp;" "&amp;B$7&amp;" "&amp;C$7&amp;" "&amp;info!F32&amp;B$5&amp;CHAR(39)&amp;CHAR(34)</f>
        <v>ssh -i p2pstorage.pem ec2-user@172.31.18.111 "sh -c 'cd node; nohup ./startServer.sh 4 2 c30-c5-2xlarge 172.31.18.111 59001 0 2 c21-c5-4xlarge 172.31.18.213 59001 &gt; /dev/null 2&gt;&amp;1 &amp;'"</v>
      </c>
    </row>
    <row r="41" spans="2:2" x14ac:dyDescent="0.25">
      <c r="B41" t="str">
        <f>B$2&amp;info!E33&amp;" "&amp;CHAR(34)&amp;B$3&amp;CHAR(39)&amp;B$4&amp;" 4 2 "&amp;info!D33&amp;" "&amp;info!E33&amp;" "&amp;B$6&amp;" "&amp;B$7&amp;" "&amp;C$7&amp;" "&amp;info!F33&amp;B$5&amp;CHAR(39)&amp;CHAR(34)</f>
        <v>ssh -i p2pstorage.pem ec2-user@172.31.18.88 "sh -c 'cd node; nohup ./startServer.sh 4 2 c31-c5-4xlarge 172.31.18.88 59001 0 2 c21-c5-4xlarge 172.31.18.213 59001 &gt; /dev/null 2&gt;&amp;1 &amp;'"</v>
      </c>
    </row>
    <row r="42" spans="2:2" x14ac:dyDescent="0.25">
      <c r="B42" t="str">
        <f>B$2&amp;info!E34&amp;" "&amp;CHAR(34)&amp;B$3&amp;CHAR(39)&amp;B$4&amp;" 4 2 "&amp;info!D34&amp;" "&amp;info!E34&amp;" "&amp;B$6&amp;" "&amp;B$7&amp;" "&amp;C$7&amp;" "&amp;info!F34&amp;B$5&amp;CHAR(39)&amp;CHAR(34)</f>
        <v>ssh -i p2pstorage.pem ec2-user@172.31.27.94 "sh -c 'cd node; nohup ./startServer.sh 4 2 c32-t2-small 172.31.27.94 59001 0 2 c31-c5-4xlarge 172.31.18.88 59001 &gt; /dev/null 2&gt;&amp;1 &amp;'"</v>
      </c>
    </row>
    <row r="43" spans="2:2" x14ac:dyDescent="0.25">
      <c r="B43" t="str">
        <f>B$2&amp;info!E35&amp;" "&amp;CHAR(34)&amp;B$3&amp;CHAR(39)&amp;B$4&amp;" 4 2 "&amp;info!D35&amp;" "&amp;info!E35&amp;" "&amp;B$6&amp;" "&amp;B$7&amp;" "&amp;C$7&amp;" "&amp;info!F35&amp;B$5&amp;CHAR(39)&amp;CHAR(34)</f>
        <v>ssh -i p2pstorage.pem ec2-user@172.31.28.207 "sh -c 'cd node; nohup ./startServer.sh 4 2 c33-t2-small 172.31.28.207 59001 0 2 c31-c5-4xlarge 172.31.18.88 59001 &gt; /dev/null 2&gt;&amp;1 &amp;'"</v>
      </c>
    </row>
    <row r="44" spans="2:2" x14ac:dyDescent="0.25">
      <c r="B44" t="str">
        <f>B$2&amp;info!E36&amp;" "&amp;CHAR(34)&amp;B$3&amp;CHAR(39)&amp;B$4&amp;" 4 2 "&amp;info!D36&amp;" "&amp;info!E36&amp;" "&amp;B$6&amp;" "&amp;B$7&amp;" "&amp;C$7&amp;" "&amp;info!F36&amp;B$5&amp;CHAR(39)&amp;CHAR(34)</f>
        <v>ssh -i p2pstorage.pem ec2-user@172.31.28.32 "sh -c 'cd node; nohup ./startServer.sh 4 2 c34-t2-small 172.31.28.32 59001 0 2 c31-c5-4xlarge 172.31.18.88 59001 &gt; /dev/null 2&gt;&amp;1 &amp;'"</v>
      </c>
    </row>
    <row r="45" spans="2:2" x14ac:dyDescent="0.25">
      <c r="B45" t="str">
        <f>B$2&amp;info!E37&amp;" "&amp;CHAR(34)&amp;B$3&amp;CHAR(39)&amp;B$4&amp;" 4 2 "&amp;info!D37&amp;" "&amp;info!E37&amp;" "&amp;B$6&amp;" "&amp;B$7&amp;" "&amp;C$7&amp;" "&amp;info!F37&amp;B$5&amp;CHAR(39)&amp;CHAR(34)</f>
        <v>ssh -i p2pstorage.pem ec2-user@172.31.22.108 "sh -c 'cd node; nohup ./startServer.sh 4 2 c35-t2-medium 172.31.22.108 59001 0 2 c31-c5-4xlarge 172.31.18.88 59001 &gt; /dev/null 2&gt;&amp;1 &amp;'"</v>
      </c>
    </row>
    <row r="46" spans="2:2" x14ac:dyDescent="0.25">
      <c r="B46" t="str">
        <f>B$2&amp;info!E38&amp;" "&amp;CHAR(34)&amp;B$3&amp;CHAR(39)&amp;B$4&amp;" 4 2 "&amp;info!D38&amp;" "&amp;info!E38&amp;" "&amp;B$6&amp;" "&amp;B$7&amp;" "&amp;C$7&amp;" "&amp;info!F38&amp;B$5&amp;CHAR(39)&amp;CHAR(34)</f>
        <v>ssh -i p2pstorage.pem ec2-user@172.31.19.189 "sh -c 'cd node; nohup ./startServer.sh 4 2 c36-t2-medium 172.31.19.189 59001 0 2 c31-c5-4xlarge 172.31.18.88 59001 &gt; /dev/null 2&gt;&amp;1 &amp;'"</v>
      </c>
    </row>
    <row r="47" spans="2:2" x14ac:dyDescent="0.25">
      <c r="B47" t="str">
        <f>B$2&amp;info!E39&amp;" "&amp;CHAR(34)&amp;B$3&amp;CHAR(39)&amp;B$4&amp;" 4 2 "&amp;info!D39&amp;" "&amp;info!E39&amp;" "&amp;B$6&amp;" "&amp;B$7&amp;" "&amp;C$7&amp;" "&amp;info!F39&amp;B$5&amp;CHAR(39)&amp;CHAR(34)</f>
        <v>ssh -i p2pstorage.pem ec2-user@172.31.16.175 "sh -c 'cd node; nohup ./startServer.sh 4 2 c37-t2-medium 172.31.16.175 59001 0 2 c31-c5-4xlarge 172.31.18.88 59001 &gt; /dev/null 2&gt;&amp;1 &amp;'"</v>
      </c>
    </row>
    <row r="48" spans="2:2" x14ac:dyDescent="0.25">
      <c r="B48" t="str">
        <f>B$2&amp;info!E40&amp;" "&amp;CHAR(34)&amp;B$3&amp;CHAR(39)&amp;B$4&amp;" 4 2 "&amp;info!D40&amp;" "&amp;info!E40&amp;" "&amp;B$6&amp;" "&amp;B$7&amp;" "&amp;C$7&amp;" "&amp;info!F40&amp;B$5&amp;CHAR(39)&amp;CHAR(34)</f>
        <v>ssh -i p2pstorage.pem ec2-user@172.31.26.82 "sh -c 'cd node; nohup ./startServer.sh 4 2 c38-c5-xlarge 172.31.26.82 59001 0 2 c31-c5-4xlarge 172.31.18.88 59001 &gt; /dev/null 2&gt;&amp;1 &amp;'"</v>
      </c>
    </row>
    <row r="49" spans="2:2" x14ac:dyDescent="0.25">
      <c r="B49" t="str">
        <f>B$2&amp;info!E41&amp;" "&amp;CHAR(34)&amp;B$3&amp;CHAR(39)&amp;B$4&amp;" 4 2 "&amp;info!D41&amp;" "&amp;info!E41&amp;" "&amp;B$6&amp;" "&amp;B$7&amp;" "&amp;C$7&amp;" "&amp;info!F41&amp;B$5&amp;CHAR(39)&amp;CHAR(34)</f>
        <v>ssh -i p2pstorage.pem ec2-user@172.31.29.98 "sh -c 'cd node; nohup ./startServer.sh 4 2 c39-c5-xlarge 172.31.29.98 59001 0 2 c31-c5-4xlarge 172.31.18.88 59001 &gt; /dev/null 2&gt;&amp;1 &amp;'"</v>
      </c>
    </row>
    <row r="50" spans="2:2" x14ac:dyDescent="0.25">
      <c r="B50" t="str">
        <f>B$2&amp;info!E42&amp;" "&amp;CHAR(34)&amp;B$3&amp;CHAR(39)&amp;B$4&amp;" 4 2 "&amp;info!D42&amp;" "&amp;info!E42&amp;" "&amp;B$6&amp;" "&amp;B$7&amp;" "&amp;C$7&amp;" "&amp;info!F42&amp;B$5&amp;CHAR(39)&amp;CHAR(34)</f>
        <v>ssh -i p2pstorage.pem ec2-user@172.31.23.103 "sh -c 'cd node; nohup ./startServer.sh 4 2 c40-c5-2xlarge 172.31.23.103 59001 0 2 c31-c5-4xlarge 172.31.18.88 59001 &gt; /dev/null 2&gt;&amp;1 &amp;'"</v>
      </c>
    </row>
    <row r="51" spans="2:2" x14ac:dyDescent="0.25">
      <c r="B51" s="3" t="s">
        <v>145</v>
      </c>
    </row>
    <row r="52" spans="2:2" x14ac:dyDescent="0.25">
      <c r="B52" t="str">
        <f>B$2&amp;info!E44&amp;" "&amp;CHAR(34)&amp;B$3&amp;CHAR(39)&amp;B$4&amp;" 4 2 "&amp;info!D44&amp;" "&amp;info!E44&amp;" "&amp;B$6&amp;" "&amp;B$7&amp;" "&amp;C$7&amp;" "&amp;info!F44&amp;B$5&amp;CHAR(39)&amp;CHAR(34)</f>
        <v>ssh -i p2pstorage.pem ec2-user@172.31.29.34 "sh -c 'cd node; nohup ./startServer.sh 4 2 c41-c5-4xlarge 172.31.29.34 59001 0 2 c31-c5-4xlarge 172.31.18.88 59001 &gt; /dev/null 2&gt;&amp;1 &amp;'"</v>
      </c>
    </row>
    <row r="53" spans="2:2" x14ac:dyDescent="0.25">
      <c r="B53" t="str">
        <f>B$2&amp;info!E45&amp;" "&amp;CHAR(34)&amp;B$3&amp;CHAR(39)&amp;B$4&amp;" 4 2 "&amp;info!D45&amp;" "&amp;info!E45&amp;" "&amp;B$6&amp;" "&amp;B$7&amp;" "&amp;C$7&amp;" "&amp;info!F45&amp;B$5&amp;CHAR(39)&amp;CHAR(34)</f>
        <v>ssh -i p2pstorage.pem ec2-user@172.31.31.208 "sh -c 'cd node; nohup ./startServer.sh 4 2 c42-t2-small 172.31.31.208 59001 0 2 c41-c5-4xlarge 172.31.29.34 59001 &gt; /dev/null 2&gt;&amp;1 &amp;'"</v>
      </c>
    </row>
    <row r="54" spans="2:2" x14ac:dyDescent="0.25">
      <c r="B54" t="str">
        <f>B$2&amp;info!E46&amp;" "&amp;CHAR(34)&amp;B$3&amp;CHAR(39)&amp;B$4&amp;" 4 2 "&amp;info!D46&amp;" "&amp;info!E46&amp;" "&amp;B$6&amp;" "&amp;B$7&amp;" "&amp;C$7&amp;" "&amp;info!F46&amp;B$5&amp;CHAR(39)&amp;CHAR(34)</f>
        <v>ssh -i p2pstorage.pem ec2-user@172.31.19.51 "sh -c 'cd node; nohup ./startServer.sh 4 2 c43-t2-small 172.31.19.51 59001 0 2 c41-c5-4xlarge 172.31.29.34 59001 &gt; /dev/null 2&gt;&amp;1 &amp;'"</v>
      </c>
    </row>
    <row r="55" spans="2:2" x14ac:dyDescent="0.25">
      <c r="B55" t="str">
        <f>B$2&amp;info!E47&amp;" "&amp;CHAR(34)&amp;B$3&amp;CHAR(39)&amp;B$4&amp;" 4 2 "&amp;info!D47&amp;" "&amp;info!E47&amp;" "&amp;B$6&amp;" "&amp;B$7&amp;" "&amp;C$7&amp;" "&amp;info!F47&amp;B$5&amp;CHAR(39)&amp;CHAR(34)</f>
        <v>ssh -i p2pstorage.pem ec2-user@172.31.31.54 "sh -c 'cd node; nohup ./startServer.sh 4 2 c44-t2-small 172.31.31.54 59001 0 2 c41-c5-4xlarge 172.31.29.34 59001 &gt; /dev/null 2&gt;&amp;1 &amp;'"</v>
      </c>
    </row>
    <row r="56" spans="2:2" x14ac:dyDescent="0.25">
      <c r="B56" t="str">
        <f>B$2&amp;info!E48&amp;" "&amp;CHAR(34)&amp;B$3&amp;CHAR(39)&amp;B$4&amp;" 4 2 "&amp;info!D48&amp;" "&amp;info!E48&amp;" "&amp;B$6&amp;" "&amp;B$7&amp;" "&amp;C$7&amp;" "&amp;info!F48&amp;B$5&amp;CHAR(39)&amp;CHAR(34)</f>
        <v>ssh -i p2pstorage.pem ec2-user@172.31.26.164 "sh -c 'cd node; nohup ./startServer.sh 4 2 c45-t2-medium 172.31.26.164 59001 0 2 c41-c5-4xlarge 172.31.29.34 59001 &gt; /dev/null 2&gt;&amp;1 &amp;'"</v>
      </c>
    </row>
    <row r="57" spans="2:2" x14ac:dyDescent="0.25">
      <c r="B57" t="str">
        <f>B$2&amp;info!E49&amp;" "&amp;CHAR(34)&amp;B$3&amp;CHAR(39)&amp;B$4&amp;" 4 2 "&amp;info!D49&amp;" "&amp;info!E49&amp;" "&amp;B$6&amp;" "&amp;B$7&amp;" "&amp;C$7&amp;" "&amp;info!F49&amp;B$5&amp;CHAR(39)&amp;CHAR(34)</f>
        <v>ssh -i p2pstorage.pem ec2-user@172.31.25.233 "sh -c 'cd node; nohup ./startServer.sh 4 2 c46-t2-medium 172.31.25.233 59001 0 2 c41-c5-4xlarge 172.31.29.34 59001 &gt; /dev/null 2&gt;&amp;1 &amp;'"</v>
      </c>
    </row>
    <row r="58" spans="2:2" x14ac:dyDescent="0.25">
      <c r="B58" t="str">
        <f>B$2&amp;info!E50&amp;" "&amp;CHAR(34)&amp;B$3&amp;CHAR(39)&amp;B$4&amp;" 4 2 "&amp;info!D50&amp;" "&amp;info!E50&amp;" "&amp;B$6&amp;" "&amp;B$7&amp;" "&amp;C$7&amp;" "&amp;info!F50&amp;B$5&amp;CHAR(39)&amp;CHAR(34)</f>
        <v>ssh -i p2pstorage.pem ec2-user@172.31.22.203 "sh -c 'cd node; nohup ./startServer.sh 4 2 c47-t2-medium 172.31.22.203 59001 0 2 c41-c5-4xlarge 172.31.29.34 59001 &gt; /dev/null 2&gt;&amp;1 &amp;'"</v>
      </c>
    </row>
    <row r="59" spans="2:2" x14ac:dyDescent="0.25">
      <c r="B59" t="str">
        <f>B$2&amp;info!E51&amp;" "&amp;CHAR(34)&amp;B$3&amp;CHAR(39)&amp;B$4&amp;" 4 2 "&amp;info!D51&amp;" "&amp;info!E51&amp;" "&amp;B$6&amp;" "&amp;B$7&amp;" "&amp;C$7&amp;" "&amp;info!F51&amp;B$5&amp;CHAR(39)&amp;CHAR(34)</f>
        <v>ssh -i p2pstorage.pem ec2-user@172.31.19.225 "sh -c 'cd node; nohup ./startServer.sh 4 2 c48-c5-xlarge 172.31.19.225 59001 0 2 c41-c5-4xlarge 172.31.29.34 59001 &gt; /dev/null 2&gt;&amp;1 &amp;'"</v>
      </c>
    </row>
    <row r="60" spans="2:2" x14ac:dyDescent="0.25">
      <c r="B60" t="str">
        <f>B$2&amp;info!E52&amp;" "&amp;CHAR(34)&amp;B$3&amp;CHAR(39)&amp;B$4&amp;" 4 2 "&amp;info!D52&amp;" "&amp;info!E52&amp;" "&amp;B$6&amp;" "&amp;B$7&amp;" "&amp;C$7&amp;" "&amp;info!F52&amp;B$5&amp;CHAR(39)&amp;CHAR(34)</f>
        <v>ssh -i p2pstorage.pem ec2-user@172.31.26.244 "sh -c 'cd node; nohup ./startServer.sh 4 2 c49-c5-xlarge 172.31.26.244 59001 0 2 c41-c5-4xlarge 172.31.29.34 59001 &gt; /dev/null 2&gt;&amp;1 &amp;'"</v>
      </c>
    </row>
    <row r="61" spans="2:2" x14ac:dyDescent="0.25">
      <c r="B61" t="str">
        <f>B$2&amp;info!E53&amp;" "&amp;CHAR(34)&amp;B$3&amp;CHAR(39)&amp;B$4&amp;" 4 2 "&amp;info!D53&amp;" "&amp;info!E53&amp;" "&amp;B$6&amp;" "&amp;B$7&amp;" "&amp;C$7&amp;" "&amp;info!F53&amp;B$5&amp;CHAR(39)&amp;CHAR(34)</f>
        <v>ssh -i p2pstorage.pem ec2-user@172.31.30.61 "sh -c 'cd node; nohup ./startServer.sh 4 2 c50-c5-2xlarge 172.31.30.61 59001 0 2 c41-c5-4xlarge 172.31.29.34 59001 &gt; /dev/null 2&gt;&amp;1 &amp;'"</v>
      </c>
    </row>
    <row r="62" spans="2:2" x14ac:dyDescent="0.25">
      <c r="B62" t="str">
        <f>B$2&amp;info!E54&amp;" "&amp;CHAR(34)&amp;B$3&amp;CHAR(39)&amp;B$4&amp;" 4 2 "&amp;info!D54&amp;" "&amp;info!E54&amp;" "&amp;B$6&amp;" "&amp;B$7&amp;" "&amp;C$7&amp;" "&amp;info!F54&amp;B$5&amp;CHAR(39)&amp;CHAR(34)</f>
        <v>ssh -i p2pstorage.pem ec2-user@172.31.29.11 "sh -c 'cd node; nohup ./startServer.sh 4 2 c51-c5-4xlarge 172.31.29.11 59001 0 2 c41-c5-4xlarge 172.31.29.34 59001 &gt; /dev/null 2&gt;&amp;1 &amp;'"</v>
      </c>
    </row>
    <row r="63" spans="2:2" x14ac:dyDescent="0.25">
      <c r="B63" t="str">
        <f>B$2&amp;info!E55&amp;" "&amp;CHAR(34)&amp;B$3&amp;CHAR(39)&amp;B$4&amp;" 4 2 "&amp;info!D55&amp;" "&amp;info!E55&amp;" "&amp;B$6&amp;" "&amp;B$7&amp;" "&amp;C$7&amp;" "&amp;info!F55&amp;B$5&amp;CHAR(39)&amp;CHAR(34)</f>
        <v>ssh -i p2pstorage.pem ec2-user@172.31.17.199 "sh -c 'cd node; nohup ./startServer.sh 4 2 c52-t2-small 172.31.17.199 59001 0 2 c51-c5-4xlarge 172.31.29.11 59001 &gt; /dev/null 2&gt;&amp;1 &amp;'"</v>
      </c>
    </row>
    <row r="64" spans="2:2" x14ac:dyDescent="0.25">
      <c r="B64" t="str">
        <f>B$2&amp;info!E56&amp;" "&amp;CHAR(34)&amp;B$3&amp;CHAR(39)&amp;B$4&amp;" 4 2 "&amp;info!D56&amp;" "&amp;info!E56&amp;" "&amp;B$6&amp;" "&amp;B$7&amp;" "&amp;C$7&amp;" "&amp;info!F56&amp;B$5&amp;CHAR(39)&amp;CHAR(34)</f>
        <v>ssh -i p2pstorage.pem ec2-user@172.31.26.151 "sh -c 'cd node; nohup ./startServer.sh 4 2 c53-t2-small 172.31.26.151 59001 0 2 c51-c5-4xlarge 172.31.29.11 59001 &gt; /dev/null 2&gt;&amp;1 &amp;'"</v>
      </c>
    </row>
    <row r="65" spans="2:2" x14ac:dyDescent="0.25">
      <c r="B65" t="str">
        <f>B$2&amp;info!E57&amp;" "&amp;CHAR(34)&amp;B$3&amp;CHAR(39)&amp;B$4&amp;" 4 2 "&amp;info!D57&amp;" "&amp;info!E57&amp;" "&amp;B$6&amp;" "&amp;B$7&amp;" "&amp;C$7&amp;" "&amp;info!F57&amp;B$5&amp;CHAR(39)&amp;CHAR(34)</f>
        <v>ssh -i p2pstorage.pem ec2-user@172.31.25.77 "sh -c 'cd node; nohup ./startServer.sh 4 2 c54-t2-small 172.31.25.77 59001 0 2 c51-c5-4xlarge 172.31.29.11 59001 &gt; /dev/null 2&gt;&amp;1 &amp;'"</v>
      </c>
    </row>
    <row r="66" spans="2:2" x14ac:dyDescent="0.25">
      <c r="B66" t="str">
        <f>B$2&amp;info!E58&amp;" "&amp;CHAR(34)&amp;B$3&amp;CHAR(39)&amp;B$4&amp;" 4 2 "&amp;info!D58&amp;" "&amp;info!E58&amp;" "&amp;B$6&amp;" "&amp;B$7&amp;" "&amp;C$7&amp;" "&amp;info!F58&amp;B$5&amp;CHAR(39)&amp;CHAR(34)</f>
        <v>ssh -i p2pstorage.pem ec2-user@172.31.27.166 "sh -c 'cd node; nohup ./startServer.sh 4 2 c55-t2-medium 172.31.27.166 59001 0 2 c51-c5-4xlarge 172.31.29.11 59001 &gt; /dev/null 2&gt;&amp;1 &amp;'"</v>
      </c>
    </row>
    <row r="67" spans="2:2" x14ac:dyDescent="0.25">
      <c r="B67" t="str">
        <f>B$2&amp;info!E59&amp;" "&amp;CHAR(34)&amp;B$3&amp;CHAR(39)&amp;B$4&amp;" 4 2 "&amp;info!D59&amp;" "&amp;info!E59&amp;" "&amp;B$6&amp;" "&amp;B$7&amp;" "&amp;C$7&amp;" "&amp;info!F59&amp;B$5&amp;CHAR(39)&amp;CHAR(34)</f>
        <v>ssh -i p2pstorage.pem ec2-user@172.31.17.98 "sh -c 'cd node; nohup ./startServer.sh 4 2 c56-t2-medium 172.31.17.98 59001 0 2 c51-c5-4xlarge 172.31.29.11 59001 &gt; /dev/null 2&gt;&amp;1 &amp;'"</v>
      </c>
    </row>
    <row r="68" spans="2:2" x14ac:dyDescent="0.25">
      <c r="B68" t="str">
        <f>B$2&amp;info!E60&amp;" "&amp;CHAR(34)&amp;B$3&amp;CHAR(39)&amp;B$4&amp;" 4 2 "&amp;info!D60&amp;" "&amp;info!E60&amp;" "&amp;B$6&amp;" "&amp;B$7&amp;" "&amp;C$7&amp;" "&amp;info!F60&amp;B$5&amp;CHAR(39)&amp;CHAR(34)</f>
        <v>ssh -i p2pstorage.pem ec2-user@172.31.27.25 "sh -c 'cd node; nohup ./startServer.sh 4 2 c57-t2-medium 172.31.27.25 59001 0 2 c51-c5-4xlarge 172.31.29.11 59001 &gt; /dev/null 2&gt;&amp;1 &amp;'"</v>
      </c>
    </row>
    <row r="69" spans="2:2" x14ac:dyDescent="0.25">
      <c r="B69" t="str">
        <f>B$2&amp;info!E61&amp;" "&amp;CHAR(34)&amp;B$3&amp;CHAR(39)&amp;B$4&amp;" 4 2 "&amp;info!D61&amp;" "&amp;info!E61&amp;" "&amp;B$6&amp;" "&amp;B$7&amp;" "&amp;C$7&amp;" "&amp;info!F61&amp;B$5&amp;CHAR(39)&amp;CHAR(34)</f>
        <v>ssh -i p2pstorage.pem ec2-user@172.31.24.96 "sh -c 'cd node; nohup ./startServer.sh 4 2 c58-c5-xlarge 172.31.24.96 59001 0 2 c51-c5-4xlarge 172.31.29.11 59001 &gt; /dev/null 2&gt;&amp;1 &amp;'"</v>
      </c>
    </row>
    <row r="70" spans="2:2" x14ac:dyDescent="0.25">
      <c r="B70" t="str">
        <f>B$2&amp;info!E62&amp;" "&amp;CHAR(34)&amp;B$3&amp;CHAR(39)&amp;B$4&amp;" 4 2 "&amp;info!D62&amp;" "&amp;info!E62&amp;" "&amp;B$6&amp;" "&amp;B$7&amp;" "&amp;C$7&amp;" "&amp;info!F62&amp;B$5&amp;CHAR(39)&amp;CHAR(34)</f>
        <v>ssh -i p2pstorage.pem ec2-user@172.31.22.197 "sh -c 'cd node; nohup ./startServer.sh 4 2 c59-c5-xlarge 172.31.22.197 59001 0 2 c51-c5-4xlarge 172.31.29.11 59001 &gt; /dev/null 2&gt;&amp;1 &amp;'"</v>
      </c>
    </row>
    <row r="71" spans="2:2" x14ac:dyDescent="0.25">
      <c r="B71" t="str">
        <f>B$2&amp;info!E63&amp;" "&amp;CHAR(34)&amp;B$3&amp;CHAR(39)&amp;B$4&amp;" 4 2 "&amp;info!D63&amp;" "&amp;info!E63&amp;" "&amp;B$6&amp;" "&amp;B$7&amp;" "&amp;C$7&amp;" "&amp;info!F63&amp;B$5&amp;CHAR(39)&amp;CHAR(34)</f>
        <v>ssh -i p2pstorage.pem ec2-user@172.31.20.108 "sh -c 'cd node; nohup ./startServer.sh 4 2 c60-c5-2xlarge 172.31.20.108 59001 0 2 c51-c5-4xlarge 172.31.29.11 59001 &gt; /dev/null 2&gt;&amp;1 &amp;'"</v>
      </c>
    </row>
    <row r="72" spans="2:2" x14ac:dyDescent="0.25">
      <c r="B72" s="3" t="s">
        <v>145</v>
      </c>
    </row>
    <row r="73" spans="2:2" x14ac:dyDescent="0.25">
      <c r="B73" t="str">
        <f>B$2&amp;info!E65&amp;" "&amp;CHAR(34)&amp;B$3&amp;CHAR(39)&amp;B$4&amp;" 4 2 "&amp;info!D65&amp;" "&amp;info!E65&amp;" "&amp;B$6&amp;" "&amp;B$7&amp;" "&amp;C$7&amp;" "&amp;info!F65&amp;B$5&amp;CHAR(39)&amp;CHAR(34)</f>
        <v>ssh -i p2pstorage.pem ec2-user@172.31.27.188 "sh -c 'cd node; nohup ./startServer.sh 4 2 c61-c5-4xlarge 172.31.27.188 59001 0 2 c51-c5-4xlarge 172.31.29.11 59001 &gt; /dev/null 2&gt;&amp;1 &amp;'"</v>
      </c>
    </row>
    <row r="74" spans="2:2" x14ac:dyDescent="0.25">
      <c r="B74" t="str">
        <f>B$2&amp;info!E66&amp;" "&amp;CHAR(34)&amp;B$3&amp;CHAR(39)&amp;B$4&amp;" 4 2 "&amp;info!D66&amp;" "&amp;info!E66&amp;" "&amp;B$6&amp;" "&amp;B$7&amp;" "&amp;C$7&amp;" "&amp;info!F66&amp;B$5&amp;CHAR(39)&amp;CHAR(34)</f>
        <v>ssh -i p2pstorage.pem ec2-user@172.31.26.227 "sh -c 'cd node; nohup ./startServer.sh 4 2 c62-t2-small 172.31.26.227 59001 0 2 c61-c5-4xlarge 172.31.27.188 59001 &gt; /dev/null 2&gt;&amp;1 &amp;'"</v>
      </c>
    </row>
    <row r="75" spans="2:2" x14ac:dyDescent="0.25">
      <c r="B75" t="str">
        <f>B$2&amp;info!E67&amp;" "&amp;CHAR(34)&amp;B$3&amp;CHAR(39)&amp;B$4&amp;" 4 2 "&amp;info!D67&amp;" "&amp;info!E67&amp;" "&amp;B$6&amp;" "&amp;B$7&amp;" "&amp;C$7&amp;" "&amp;info!F67&amp;B$5&amp;CHAR(39)&amp;CHAR(34)</f>
        <v>ssh -i p2pstorage.pem ec2-user@172.31.19.74 "sh -c 'cd node; nohup ./startServer.sh 4 2 c63-t2-small 172.31.19.74 59001 0 2 c61-c5-4xlarge 172.31.27.188 59001 &gt; /dev/null 2&gt;&amp;1 &amp;'"</v>
      </c>
    </row>
    <row r="76" spans="2:2" x14ac:dyDescent="0.25">
      <c r="B76" t="str">
        <f>B$2&amp;info!E68&amp;" "&amp;CHAR(34)&amp;B$3&amp;CHAR(39)&amp;B$4&amp;" 4 2 "&amp;info!D68&amp;" "&amp;info!E68&amp;" "&amp;B$6&amp;" "&amp;B$7&amp;" "&amp;C$7&amp;" "&amp;info!F68&amp;B$5&amp;CHAR(39)&amp;CHAR(34)</f>
        <v>ssh -i p2pstorage.pem ec2-user@172.31.18.89 "sh -c 'cd node; nohup ./startServer.sh 4 2 c64-t2-small 172.31.18.89 59001 0 2 c61-c5-4xlarge 172.31.27.188 59001 &gt; /dev/null 2&gt;&amp;1 &amp;'"</v>
      </c>
    </row>
    <row r="77" spans="2:2" x14ac:dyDescent="0.25">
      <c r="B77" t="str">
        <f>B$2&amp;info!E69&amp;" "&amp;CHAR(34)&amp;B$3&amp;CHAR(39)&amp;B$4&amp;" 4 2 "&amp;info!D69&amp;" "&amp;info!E69&amp;" "&amp;B$6&amp;" "&amp;B$7&amp;" "&amp;C$7&amp;" "&amp;info!F69&amp;B$5&amp;CHAR(39)&amp;CHAR(34)</f>
        <v>ssh -i p2pstorage.pem ec2-user@172.31.22.198 "sh -c 'cd node; nohup ./startServer.sh 4 2 c65-t2-medium 172.31.22.198 59001 0 2 c61-c5-4xlarge 172.31.27.188 59001 &gt; /dev/null 2&gt;&amp;1 &amp;'"</v>
      </c>
    </row>
    <row r="78" spans="2:2" x14ac:dyDescent="0.25">
      <c r="B78" t="str">
        <f>B$2&amp;info!E70&amp;" "&amp;CHAR(34)&amp;B$3&amp;CHAR(39)&amp;B$4&amp;" 4 2 "&amp;info!D70&amp;" "&amp;info!E70&amp;" "&amp;B$6&amp;" "&amp;B$7&amp;" "&amp;C$7&amp;" "&amp;info!F70&amp;B$5&amp;CHAR(39)&amp;CHAR(34)</f>
        <v>ssh -i p2pstorage.pem ec2-user@172.31.20.6 "sh -c 'cd node; nohup ./startServer.sh 4 2 c66-t2-medium 172.31.20.6 59001 0 2 c61-c5-4xlarge 172.31.27.188 59001 &gt; /dev/null 2&gt;&amp;1 &amp;'"</v>
      </c>
    </row>
    <row r="79" spans="2:2" x14ac:dyDescent="0.25">
      <c r="B79" t="str">
        <f>B$2&amp;info!E71&amp;" "&amp;CHAR(34)&amp;B$3&amp;CHAR(39)&amp;B$4&amp;" 4 2 "&amp;info!D71&amp;" "&amp;info!E71&amp;" "&amp;B$6&amp;" "&amp;B$7&amp;" "&amp;C$7&amp;" "&amp;info!F71&amp;B$5&amp;CHAR(39)&amp;CHAR(34)</f>
        <v>ssh -i p2pstorage.pem ec2-user@172.31.24.234 "sh -c 'cd node; nohup ./startServer.sh 4 2 c67-t2-medium 172.31.24.234 59001 0 2 c61-c5-4xlarge 172.31.27.188 59001 &gt; /dev/null 2&gt;&amp;1 &amp;'"</v>
      </c>
    </row>
    <row r="80" spans="2:2" x14ac:dyDescent="0.25">
      <c r="B80" t="str">
        <f>B$2&amp;info!E72&amp;" "&amp;CHAR(34)&amp;B$3&amp;CHAR(39)&amp;B$4&amp;" 4 2 "&amp;info!D72&amp;" "&amp;info!E72&amp;" "&amp;B$6&amp;" "&amp;B$7&amp;" "&amp;C$7&amp;" "&amp;info!F72&amp;B$5&amp;CHAR(39)&amp;CHAR(34)</f>
        <v>ssh -i p2pstorage.pem ec2-user@172.31.16.123 "sh -c 'cd node; nohup ./startServer.sh 4 2 c68-c5-xlarge 172.31.16.123 59001 0 2 c61-c5-4xlarge 172.31.27.188 59001 &gt; /dev/null 2&gt;&amp;1 &amp;'"</v>
      </c>
    </row>
    <row r="81" spans="2:2" x14ac:dyDescent="0.25">
      <c r="B81" t="str">
        <f>B$2&amp;info!E73&amp;" "&amp;CHAR(34)&amp;B$3&amp;CHAR(39)&amp;B$4&amp;" 4 2 "&amp;info!D73&amp;" "&amp;info!E73&amp;" "&amp;B$6&amp;" "&amp;B$7&amp;" "&amp;C$7&amp;" "&amp;info!F73&amp;B$5&amp;CHAR(39)&amp;CHAR(34)</f>
        <v>ssh -i p2pstorage.pem ec2-user@172.31.22.139 "sh -c 'cd node; nohup ./startServer.sh 4 2 c69-c5-xlarge 172.31.22.139 59001 0 2 c61-c5-4xlarge 172.31.27.188 59001 &gt; /dev/null 2&gt;&amp;1 &amp;'"</v>
      </c>
    </row>
    <row r="82" spans="2:2" x14ac:dyDescent="0.25">
      <c r="B82" t="str">
        <f>B$2&amp;info!E74&amp;" "&amp;CHAR(34)&amp;B$3&amp;CHAR(39)&amp;B$4&amp;" 4 2 "&amp;info!D74&amp;" "&amp;info!E74&amp;" "&amp;B$6&amp;" "&amp;B$7&amp;" "&amp;C$7&amp;" "&amp;info!F74&amp;B$5&amp;CHAR(39)&amp;CHAR(34)</f>
        <v>ssh -i p2pstorage.pem ec2-user@172.31.29.152 "sh -c 'cd node; nohup ./startServer.sh 4 2 c70-c5-2xlarge 172.31.29.152 59001 0 2 c61-c5-4xlarge 172.31.27.188 59001 &gt; /dev/null 2&gt;&amp;1 &amp;'"</v>
      </c>
    </row>
    <row r="83" spans="2:2" x14ac:dyDescent="0.25">
      <c r="B83" t="str">
        <f>B$2&amp;info!E75&amp;" "&amp;CHAR(34)&amp;B$3&amp;CHAR(39)&amp;B$4&amp;" 4 2 "&amp;info!D75&amp;" "&amp;info!E75&amp;" "&amp;B$6&amp;" "&amp;B$7&amp;" "&amp;C$7&amp;" "&amp;info!F75&amp;B$5&amp;CHAR(39)&amp;CHAR(34)</f>
        <v>ssh -i p2pstorage.pem ec2-user@172.31.28.114 "sh -c 'cd node; nohup ./startServer.sh 4 2 c71-c5-4xlarge 172.31.28.114 59001 0 2 c61-c5-4xlarge 172.31.27.188 59001 &gt; /dev/null 2&gt;&amp;1 &amp;'"</v>
      </c>
    </row>
    <row r="84" spans="2:2" x14ac:dyDescent="0.25">
      <c r="B84" t="str">
        <f>B$2&amp;info!E76&amp;" "&amp;CHAR(34)&amp;B$3&amp;CHAR(39)&amp;B$4&amp;" 4 2 "&amp;info!D76&amp;" "&amp;info!E76&amp;" "&amp;B$6&amp;" "&amp;B$7&amp;" "&amp;C$7&amp;" "&amp;info!F76&amp;B$5&amp;CHAR(39)&amp;CHAR(34)</f>
        <v>ssh -i p2pstorage.pem ec2-user@172.31.26.46 "sh -c 'cd node; nohup ./startServer.sh 4 2 c72-t2-small 172.31.26.46 59001 0 2 c71-c5-4xlarge 172.31.28.114 59001 &gt; /dev/null 2&gt;&amp;1 &amp;'"</v>
      </c>
    </row>
    <row r="85" spans="2:2" x14ac:dyDescent="0.25">
      <c r="B85" t="str">
        <f>B$2&amp;info!E77&amp;" "&amp;CHAR(34)&amp;B$3&amp;CHAR(39)&amp;B$4&amp;" 4 2 "&amp;info!D77&amp;" "&amp;info!E77&amp;" "&amp;B$6&amp;" "&amp;B$7&amp;" "&amp;C$7&amp;" "&amp;info!F77&amp;B$5&amp;CHAR(39)&amp;CHAR(34)</f>
        <v>ssh -i p2pstorage.pem ec2-user@172.31.17.17 "sh -c 'cd node; nohup ./startServer.sh 4 2 c73-t2-small 172.31.17.17 59001 0 2 c71-c5-4xlarge 172.31.28.114 59001 &gt; /dev/null 2&gt;&amp;1 &amp;'"</v>
      </c>
    </row>
    <row r="86" spans="2:2" x14ac:dyDescent="0.25">
      <c r="B86" t="str">
        <f>B$2&amp;info!E78&amp;" "&amp;CHAR(34)&amp;B$3&amp;CHAR(39)&amp;B$4&amp;" 4 2 "&amp;info!D78&amp;" "&amp;info!E78&amp;" "&amp;B$6&amp;" "&amp;B$7&amp;" "&amp;C$7&amp;" "&amp;info!F78&amp;B$5&amp;CHAR(39)&amp;CHAR(34)</f>
        <v>ssh -i p2pstorage.pem ec2-user@172.31.24.201 "sh -c 'cd node; nohup ./startServer.sh 4 2 c74-t2-small 172.31.24.201 59001 0 2 c71-c5-4xlarge 172.31.28.114 59001 &gt; /dev/null 2&gt;&amp;1 &amp;'"</v>
      </c>
    </row>
    <row r="87" spans="2:2" x14ac:dyDescent="0.25">
      <c r="B87" t="str">
        <f>B$2&amp;info!E79&amp;" "&amp;CHAR(34)&amp;B$3&amp;CHAR(39)&amp;B$4&amp;" 4 2 "&amp;info!D79&amp;" "&amp;info!E79&amp;" "&amp;B$6&amp;" "&amp;B$7&amp;" "&amp;C$7&amp;" "&amp;info!F79&amp;B$5&amp;CHAR(39)&amp;CHAR(34)</f>
        <v>ssh -i p2pstorage.pem ec2-user@172.31.19.18 "sh -c 'cd node; nohup ./startServer.sh 4 2 c75-t2-medium 172.31.19.18 59001 0 2 c71-c5-4xlarge 172.31.28.114 59001 &gt; /dev/null 2&gt;&amp;1 &amp;'"</v>
      </c>
    </row>
    <row r="88" spans="2:2" x14ac:dyDescent="0.25">
      <c r="B88" t="str">
        <f>B$2&amp;info!E80&amp;" "&amp;CHAR(34)&amp;B$3&amp;CHAR(39)&amp;B$4&amp;" 4 2 "&amp;info!D80&amp;" "&amp;info!E80&amp;" "&amp;B$6&amp;" "&amp;B$7&amp;" "&amp;C$7&amp;" "&amp;info!F80&amp;B$5&amp;CHAR(39)&amp;CHAR(34)</f>
        <v>ssh -i p2pstorage.pem ec2-user@172.31.21.225 "sh -c 'cd node; nohup ./startServer.sh 4 2 c76-t2-medium 172.31.21.225 59001 0 2 c71-c5-4xlarge 172.31.28.114 59001 &gt; /dev/null 2&gt;&amp;1 &amp;'"</v>
      </c>
    </row>
    <row r="89" spans="2:2" x14ac:dyDescent="0.25">
      <c r="B89" t="str">
        <f>B$2&amp;info!E81&amp;" "&amp;CHAR(34)&amp;B$3&amp;CHAR(39)&amp;B$4&amp;" 4 2 "&amp;info!D81&amp;" "&amp;info!E81&amp;" "&amp;B$6&amp;" "&amp;B$7&amp;" "&amp;C$7&amp;" "&amp;info!F81&amp;B$5&amp;CHAR(39)&amp;CHAR(34)</f>
        <v>ssh -i p2pstorage.pem ec2-user@172.31.16.19 "sh -c 'cd node; nohup ./startServer.sh 4 2 c77-t2-medium 172.31.16.19 59001 0 2 c71-c5-4xlarge 172.31.28.114 59001 &gt; /dev/null 2&gt;&amp;1 &amp;'"</v>
      </c>
    </row>
    <row r="90" spans="2:2" x14ac:dyDescent="0.25">
      <c r="B90" t="str">
        <f>B$2&amp;info!E82&amp;" "&amp;CHAR(34)&amp;B$3&amp;CHAR(39)&amp;B$4&amp;" 4 2 "&amp;info!D82&amp;" "&amp;info!E82&amp;" "&amp;B$6&amp;" "&amp;B$7&amp;" "&amp;C$7&amp;" "&amp;info!F82&amp;B$5&amp;CHAR(39)&amp;CHAR(34)</f>
        <v>ssh -i p2pstorage.pem ec2-user@172.31.18.160 "sh -c 'cd node; nohup ./startServer.sh 4 2 c78-c5-xlarge 172.31.18.160 59001 0 2 c71-c5-4xlarge 172.31.28.114 59001 &gt; /dev/null 2&gt;&amp;1 &amp;'"</v>
      </c>
    </row>
    <row r="91" spans="2:2" x14ac:dyDescent="0.25">
      <c r="B91" t="str">
        <f>B$2&amp;info!E83&amp;" "&amp;CHAR(34)&amp;B$3&amp;CHAR(39)&amp;B$4&amp;" 4 2 "&amp;info!D83&amp;" "&amp;info!E83&amp;" "&amp;B$6&amp;" "&amp;B$7&amp;" "&amp;C$7&amp;" "&amp;info!F83&amp;B$5&amp;CHAR(39)&amp;CHAR(34)</f>
        <v>ssh -i p2pstorage.pem ec2-user@172.31.31.237 "sh -c 'cd node; nohup ./startServer.sh 4 2 c79-c5-xlarge 172.31.31.237 59001 0 2 c71-c5-4xlarge 172.31.28.114 59001 &gt; /dev/null 2&gt;&amp;1 &amp;'"</v>
      </c>
    </row>
    <row r="92" spans="2:2" x14ac:dyDescent="0.25">
      <c r="B92" t="str">
        <f>B$2&amp;info!E84&amp;" "&amp;CHAR(34)&amp;B$3&amp;CHAR(39)&amp;B$4&amp;" 4 2 "&amp;info!D84&amp;" "&amp;info!E84&amp;" "&amp;B$6&amp;" "&amp;B$7&amp;" "&amp;C$7&amp;" "&amp;info!F84&amp;B$5&amp;CHAR(39)&amp;CHAR(34)</f>
        <v>ssh -i p2pstorage.pem ec2-user@172.31.16.236 "sh -c 'cd node; nohup ./startServer.sh 4 2 c80-c5-2xlarge 172.31.16.236 59001 0 2 c71-c5-4xlarge 172.31.28.114 59001 &gt; /dev/null 2&gt;&amp;1 &amp;'"</v>
      </c>
    </row>
    <row r="93" spans="2:2" x14ac:dyDescent="0.25">
      <c r="B93" s="3" t="s">
        <v>145</v>
      </c>
    </row>
    <row r="94" spans="2:2" x14ac:dyDescent="0.25">
      <c r="B94" t="str">
        <f>B$2&amp;info!E86&amp;" "&amp;CHAR(34)&amp;B$3&amp;CHAR(39)&amp;B$4&amp;" 4 2 "&amp;info!D86&amp;" "&amp;info!E86&amp;" "&amp;B$6&amp;" "&amp;B$7&amp;" "&amp;C$7&amp;" "&amp;info!F86&amp;B$5&amp;CHAR(39)&amp;CHAR(34)</f>
        <v>ssh -i p2pstorage.pem ec2-user@172.31.29.142 "sh -c 'cd node; nohup ./startServer.sh 4 2 c81-c5-4xlarge 172.31.29.142 59001 0 2 c71-c5-4xlarge 172.31.28.114 59001 &gt; /dev/null 2&gt;&amp;1 &amp;'"</v>
      </c>
    </row>
    <row r="95" spans="2:2" x14ac:dyDescent="0.25">
      <c r="B95" t="str">
        <f>B$2&amp;info!E87&amp;" "&amp;CHAR(34)&amp;B$3&amp;CHAR(39)&amp;B$4&amp;" 4 2 "&amp;info!D87&amp;" "&amp;info!E87&amp;" "&amp;B$6&amp;" "&amp;B$7&amp;" "&amp;C$7&amp;" "&amp;info!F87&amp;B$5&amp;CHAR(39)&amp;CHAR(34)</f>
        <v>ssh -i p2pstorage.pem ec2-user@172.31.20.77 "sh -c 'cd node; nohup ./startServer.sh 4 2 c82-t2-small 172.31.20.77 59001 0 2 c81-c5-4xlarge 172.31.29.142 59001 &gt; /dev/null 2&gt;&amp;1 &amp;'"</v>
      </c>
    </row>
    <row r="96" spans="2:2" x14ac:dyDescent="0.25">
      <c r="B96" t="str">
        <f>B$2&amp;info!E88&amp;" "&amp;CHAR(34)&amp;B$3&amp;CHAR(39)&amp;B$4&amp;" 4 2 "&amp;info!D88&amp;" "&amp;info!E88&amp;" "&amp;B$6&amp;" "&amp;B$7&amp;" "&amp;C$7&amp;" "&amp;info!F88&amp;B$5&amp;CHAR(39)&amp;CHAR(34)</f>
        <v>ssh -i p2pstorage.pem ec2-user@172.31.20.25 "sh -c 'cd node; nohup ./startServer.sh 4 2 c83-t2-small 172.31.20.25 59001 0 2 c81-c5-4xlarge 172.31.29.142 59001 &gt; /dev/null 2&gt;&amp;1 &amp;'"</v>
      </c>
    </row>
    <row r="97" spans="2:2" x14ac:dyDescent="0.25">
      <c r="B97" t="str">
        <f>B$2&amp;info!E89&amp;" "&amp;CHAR(34)&amp;B$3&amp;CHAR(39)&amp;B$4&amp;" 4 2 "&amp;info!D89&amp;" "&amp;info!E89&amp;" "&amp;B$6&amp;" "&amp;B$7&amp;" "&amp;C$7&amp;" "&amp;info!F89&amp;B$5&amp;CHAR(39)&amp;CHAR(34)</f>
        <v>ssh -i p2pstorage.pem ec2-user@172.31.19.239 "sh -c 'cd node; nohup ./startServer.sh 4 2 c84-t2-small 172.31.19.239 59001 0 2 c81-c5-4xlarge 172.31.29.142 59001 &gt; /dev/null 2&gt;&amp;1 &amp;'"</v>
      </c>
    </row>
    <row r="98" spans="2:2" x14ac:dyDescent="0.25">
      <c r="B98" t="str">
        <f>B$2&amp;info!E90&amp;" "&amp;CHAR(34)&amp;B$3&amp;CHAR(39)&amp;B$4&amp;" 4 2 "&amp;info!D90&amp;" "&amp;info!E90&amp;" "&amp;B$6&amp;" "&amp;B$7&amp;" "&amp;C$7&amp;" "&amp;info!F90&amp;B$5&amp;CHAR(39)&amp;CHAR(34)</f>
        <v>ssh -i p2pstorage.pem ec2-user@172.31.23.251 "sh -c 'cd node; nohup ./startServer.sh 4 2 c85-t2-medium 172.31.23.251 59001 0 2 c81-c5-4xlarge 172.31.29.142 59001 &gt; /dev/null 2&gt;&amp;1 &amp;'"</v>
      </c>
    </row>
    <row r="99" spans="2:2" x14ac:dyDescent="0.25">
      <c r="B99" t="str">
        <f>B$2&amp;info!E91&amp;" "&amp;CHAR(34)&amp;B$3&amp;CHAR(39)&amp;B$4&amp;" 4 2 "&amp;info!D91&amp;" "&amp;info!E91&amp;" "&amp;B$6&amp;" "&amp;B$7&amp;" "&amp;C$7&amp;" "&amp;info!F91&amp;B$5&amp;CHAR(39)&amp;CHAR(34)</f>
        <v>ssh -i p2pstorage.pem ec2-user@172.31.16.43 "sh -c 'cd node; nohup ./startServer.sh 4 2 c86-t2-medium 172.31.16.43 59001 0 2 c81-c5-4xlarge 172.31.29.142 59001 &gt; /dev/null 2&gt;&amp;1 &amp;'"</v>
      </c>
    </row>
    <row r="100" spans="2:2" x14ac:dyDescent="0.25">
      <c r="B100" t="str">
        <f>B$2&amp;info!E92&amp;" "&amp;CHAR(34)&amp;B$3&amp;CHAR(39)&amp;B$4&amp;" 4 2 "&amp;info!D92&amp;" "&amp;info!E92&amp;" "&amp;B$6&amp;" "&amp;B$7&amp;" "&amp;C$7&amp;" "&amp;info!F92&amp;B$5&amp;CHAR(39)&amp;CHAR(34)</f>
        <v>ssh -i p2pstorage.pem ec2-user@172.31.21.110 "sh -c 'cd node; nohup ./startServer.sh 4 2 c87-t2-medium 172.31.21.110 59001 0 2 c81-c5-4xlarge 172.31.29.142 59001 &gt; /dev/null 2&gt;&amp;1 &amp;'"</v>
      </c>
    </row>
    <row r="101" spans="2:2" x14ac:dyDescent="0.25">
      <c r="B101" t="str">
        <f>B$2&amp;info!E93&amp;" "&amp;CHAR(34)&amp;B$3&amp;CHAR(39)&amp;B$4&amp;" 4 2 "&amp;info!D93&amp;" "&amp;info!E93&amp;" "&amp;B$6&amp;" "&amp;B$7&amp;" "&amp;C$7&amp;" "&amp;info!F93&amp;B$5&amp;CHAR(39)&amp;CHAR(34)</f>
        <v>ssh -i p2pstorage.pem ec2-user@172.31.24.55 "sh -c 'cd node; nohup ./startServer.sh 4 2 c88-c5-xlarge 172.31.24.55 59001 0 2 c81-c5-4xlarge 172.31.29.142 59001 &gt; /dev/null 2&gt;&amp;1 &amp;'"</v>
      </c>
    </row>
    <row r="102" spans="2:2" x14ac:dyDescent="0.25">
      <c r="B102" t="str">
        <f>B$2&amp;info!E94&amp;" "&amp;CHAR(34)&amp;B$3&amp;CHAR(39)&amp;B$4&amp;" 4 2 "&amp;info!D94&amp;" "&amp;info!E94&amp;" "&amp;B$6&amp;" "&amp;B$7&amp;" "&amp;C$7&amp;" "&amp;info!F94&amp;B$5&amp;CHAR(39)&amp;CHAR(34)</f>
        <v>ssh -i p2pstorage.pem ec2-user@172.31.31.148 "sh -c 'cd node; nohup ./startServer.sh 4 2 c89-c5-xlarge 172.31.31.148 59001 0 2 c81-c5-4xlarge 172.31.29.142 59001 &gt; /dev/null 2&gt;&amp;1 &amp;'"</v>
      </c>
    </row>
    <row r="103" spans="2:2" x14ac:dyDescent="0.25">
      <c r="B103" t="str">
        <f>B$2&amp;info!E95&amp;" "&amp;CHAR(34)&amp;B$3&amp;CHAR(39)&amp;B$4&amp;" 4 2 "&amp;info!D95&amp;" "&amp;info!E95&amp;" "&amp;B$6&amp;" "&amp;B$7&amp;" "&amp;C$7&amp;" "&amp;info!F95&amp;B$5&amp;CHAR(39)&amp;CHAR(34)</f>
        <v>ssh -i p2pstorage.pem ec2-user@172.31.25.125 "sh -c 'cd node; nohup ./startServer.sh 4 2 c90-c5-2xlarge 172.31.25.125 59001 0 2 c81-c5-4xlarge 172.31.29.142 59001 &gt; /dev/null 2&gt;&amp;1 &amp;'"</v>
      </c>
    </row>
    <row r="104" spans="2:2" x14ac:dyDescent="0.25">
      <c r="B104" t="str">
        <f>B$2&amp;info!E96&amp;" "&amp;CHAR(34)&amp;B$3&amp;CHAR(39)&amp;B$4&amp;" 4 2 "&amp;info!D96&amp;" "&amp;info!E96&amp;" "&amp;B$6&amp;" "&amp;B$7&amp;" "&amp;C$7&amp;" "&amp;info!F96&amp;B$5&amp;CHAR(39)&amp;CHAR(34)</f>
        <v>ssh -i p2pstorage.pem ec2-user@172.31.22.253 "sh -c 'cd node; nohup ./startServer.sh 4 2 c91-c5-4xlarge 172.31.22.253 59001 0 2 c81-c5-4xlarge 172.31.29.142 59001 &gt; /dev/null 2&gt;&amp;1 &amp;'"</v>
      </c>
    </row>
    <row r="105" spans="2:2" x14ac:dyDescent="0.25">
      <c r="B105" t="str">
        <f>B$2&amp;info!E97&amp;" "&amp;CHAR(34)&amp;B$3&amp;CHAR(39)&amp;B$4&amp;" 4 2 "&amp;info!D97&amp;" "&amp;info!E97&amp;" "&amp;B$6&amp;" "&amp;B$7&amp;" "&amp;C$7&amp;" "&amp;info!F97&amp;B$5&amp;CHAR(39)&amp;CHAR(34)</f>
        <v>ssh -i p2pstorage.pem ec2-user@172.31.20.255 "sh -c 'cd node; nohup ./startServer.sh 4 2 c92-t2-small 172.31.20.255 59001 0 2 c91-c5-4xlarge 172.31.22.253 59001 &gt; /dev/null 2&gt;&amp;1 &amp;'"</v>
      </c>
    </row>
    <row r="106" spans="2:2" x14ac:dyDescent="0.25">
      <c r="B106" t="str">
        <f>B$2&amp;info!E98&amp;" "&amp;CHAR(34)&amp;B$3&amp;CHAR(39)&amp;B$4&amp;" 4 2 "&amp;info!D98&amp;" "&amp;info!E98&amp;" "&amp;B$6&amp;" "&amp;B$7&amp;" "&amp;C$7&amp;" "&amp;info!F98&amp;B$5&amp;CHAR(39)&amp;CHAR(34)</f>
        <v>ssh -i p2pstorage.pem ec2-user@172.31.18.234 "sh -c 'cd node; nohup ./startServer.sh 4 2 c93-t2-small 172.31.18.234 59001 0 2 c91-c5-4xlarge 172.31.22.253 59001 &gt; /dev/null 2&gt;&amp;1 &amp;'"</v>
      </c>
    </row>
    <row r="107" spans="2:2" x14ac:dyDescent="0.25">
      <c r="B107" t="str">
        <f>B$2&amp;info!E99&amp;" "&amp;CHAR(34)&amp;B$3&amp;CHAR(39)&amp;B$4&amp;" 4 2 "&amp;info!D99&amp;" "&amp;info!E99&amp;" "&amp;B$6&amp;" "&amp;B$7&amp;" "&amp;C$7&amp;" "&amp;info!F99&amp;B$5&amp;CHAR(39)&amp;CHAR(34)</f>
        <v>ssh -i p2pstorage.pem ec2-user@172.31.29.186 "sh -c 'cd node; nohup ./startServer.sh 4 2 c94-t2-small 172.31.29.186 59001 0 2 c91-c5-4xlarge 172.31.22.253 59001 &gt; /dev/null 2&gt;&amp;1 &amp;'"</v>
      </c>
    </row>
    <row r="108" spans="2:2" x14ac:dyDescent="0.25">
      <c r="B108" t="str">
        <f>B$2&amp;info!E100&amp;" "&amp;CHAR(34)&amp;B$3&amp;CHAR(39)&amp;B$4&amp;" 4 2 "&amp;info!D100&amp;" "&amp;info!E100&amp;" "&amp;B$6&amp;" "&amp;B$7&amp;" "&amp;C$7&amp;" "&amp;info!F100&amp;B$5&amp;CHAR(39)&amp;CHAR(34)</f>
        <v>ssh -i p2pstorage.pem ec2-user@172.31.31.15 "sh -c 'cd node; nohup ./startServer.sh 4 2 c95-t2-medium 172.31.31.15 59001 0 2 c91-c5-4xlarge 172.31.22.253 59001 &gt; /dev/null 2&gt;&amp;1 &amp;'"</v>
      </c>
    </row>
    <row r="109" spans="2:2" x14ac:dyDescent="0.25">
      <c r="B109" t="str">
        <f>B$2&amp;info!E101&amp;" "&amp;CHAR(34)&amp;B$3&amp;CHAR(39)&amp;B$4&amp;" 4 2 "&amp;info!D101&amp;" "&amp;info!E101&amp;" "&amp;B$6&amp;" "&amp;B$7&amp;" "&amp;C$7&amp;" "&amp;info!F101&amp;B$5&amp;CHAR(39)&amp;CHAR(34)</f>
        <v>ssh -i p2pstorage.pem ec2-user@172.31.25.144 "sh -c 'cd node; nohup ./startServer.sh 4 2 c96-t2-medium 172.31.25.144 59001 0 2 c91-c5-4xlarge 172.31.22.253 59001 &gt; /dev/null 2&gt;&amp;1 &amp;'"</v>
      </c>
    </row>
    <row r="110" spans="2:2" x14ac:dyDescent="0.25">
      <c r="B110" t="str">
        <f>B$2&amp;info!E102&amp;" "&amp;CHAR(34)&amp;B$3&amp;CHAR(39)&amp;B$4&amp;" 4 2 "&amp;info!D102&amp;" "&amp;info!E102&amp;" "&amp;B$6&amp;" "&amp;B$7&amp;" "&amp;C$7&amp;" "&amp;info!F102&amp;B$5&amp;CHAR(39)&amp;CHAR(34)</f>
        <v>ssh -i p2pstorage.pem ec2-user@172.31.20.104 "sh -c 'cd node; nohup ./startServer.sh 4 2 c97-t2-medium 172.31.20.104 59001 0 2 c91-c5-4xlarge 172.31.22.253 59001 &gt; /dev/null 2&gt;&amp;1 &amp;'"</v>
      </c>
    </row>
    <row r="111" spans="2:2" x14ac:dyDescent="0.25">
      <c r="B111" t="str">
        <f>B$2&amp;info!E103&amp;" "&amp;CHAR(34)&amp;B$3&amp;CHAR(39)&amp;B$4&amp;" 4 2 "&amp;info!D103&amp;" "&amp;info!E103&amp;" "&amp;B$6&amp;" "&amp;B$7&amp;" "&amp;C$7&amp;" "&amp;info!F103&amp;B$5&amp;CHAR(39)&amp;CHAR(34)</f>
        <v>ssh -i p2pstorage.pem ec2-user@172.31.25.100 "sh -c 'cd node; nohup ./startServer.sh 4 2 c98-c5-xlarge 172.31.25.100 59001 0 2 c91-c5-4xlarge 172.31.22.253 59001 &gt; /dev/null 2&gt;&amp;1 &amp;'"</v>
      </c>
    </row>
    <row r="112" spans="2:2" x14ac:dyDescent="0.25">
      <c r="B112" t="str">
        <f>B$2&amp;info!E104&amp;" "&amp;CHAR(34)&amp;B$3&amp;CHAR(39)&amp;B$4&amp;" 4 2 "&amp;info!D104&amp;" "&amp;info!E104&amp;" "&amp;B$6&amp;" "&amp;B$7&amp;" "&amp;C$7&amp;" "&amp;info!F104&amp;B$5&amp;CHAR(39)&amp;CHAR(34)</f>
        <v>ssh -i p2pstorage.pem ec2-user@172.31.25.167 "sh -c 'cd node; nohup ./startServer.sh 4 2 c99-c5-xlarge 172.31.25.167 59001 0 2 c91-c5-4xlarge 172.31.22.253 59001 &gt; /dev/null 2&gt;&amp;1 &amp;'"</v>
      </c>
    </row>
    <row r="113" spans="2:2" x14ac:dyDescent="0.25">
      <c r="B113" t="str">
        <f>B$2&amp;info!E105&amp;" "&amp;CHAR(34)&amp;B$3&amp;CHAR(39)&amp;B$4&amp;" 4 2 "&amp;info!D105&amp;" "&amp;info!E105&amp;" "&amp;B$6&amp;" "&amp;B$7&amp;" "&amp;C$7&amp;" "&amp;info!F105&amp;B$5&amp;CHAR(39)&amp;CHAR(34)</f>
        <v>ssh -i p2pstorage.pem ec2-user@172.31.28.55 "sh -c 'cd node; nohup ./startServer.sh 4 2 c100-c5-2xlarge 172.31.28.55 59001 0 2 c91-c5-4xlarge 172.31.22.253 59001 &gt; /dev/null 2&gt;&amp;1 &amp;'"</v>
      </c>
    </row>
    <row r="114" spans="2:2" x14ac:dyDescent="0.25">
      <c r="B114" s="3" t="s">
        <v>145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5696-816A-435D-94F5-6046F5FB2CA7}">
  <dimension ref="B2:B110"/>
  <sheetViews>
    <sheetView topLeftCell="A82" workbookViewId="0">
      <selection activeCell="B7" sqref="B7:B110"/>
    </sheetView>
  </sheetViews>
  <sheetFormatPr defaultRowHeight="15" x14ac:dyDescent="0.25"/>
  <sheetData>
    <row r="2" spans="2:2" x14ac:dyDescent="0.25">
      <c r="B2" t="s">
        <v>34</v>
      </c>
    </row>
    <row r="3" spans="2:2" x14ac:dyDescent="0.25">
      <c r="B3" t="s">
        <v>35</v>
      </c>
    </row>
    <row r="4" spans="2:2" x14ac:dyDescent="0.25">
      <c r="B4" t="s">
        <v>39</v>
      </c>
    </row>
    <row r="5" spans="2:2" x14ac:dyDescent="0.25">
      <c r="B5" t="s">
        <v>40</v>
      </c>
    </row>
    <row r="7" spans="2:2" x14ac:dyDescent="0.25">
      <c r="B7" t="str">
        <f>B$2&amp;info!E2&amp;" "&amp;CHAR(34)&amp;B$3&amp;CHAR(39)&amp;B$4&amp;B$5&amp;CHAR(39)&amp;CHAR(34)</f>
        <v>ssh -i p2pstorage.pem ec2-user@172.31.16.10 "sh -c 'cd node; nohup ./stopServer.sh &gt; /dev/null 2&gt;&amp;1 &amp;'"</v>
      </c>
    </row>
    <row r="8" spans="2:2" x14ac:dyDescent="0.25">
      <c r="B8" t="str">
        <f>B$2&amp;info!E3&amp;" "&amp;CHAR(34)&amp;B$3&amp;CHAR(39)&amp;B$4&amp;B$5&amp;CHAR(39)&amp;CHAR(34)</f>
        <v>ssh -i p2pstorage.pem ec2-user@172.31.27.28 "sh -c 'cd node; nohup ./stopServer.sh &gt; /dev/null 2&gt;&amp;1 &amp;'"</v>
      </c>
    </row>
    <row r="9" spans="2:2" x14ac:dyDescent="0.25">
      <c r="B9" t="str">
        <f>B$2&amp;info!E4&amp;" "&amp;CHAR(34)&amp;B$3&amp;CHAR(39)&amp;B$4&amp;B$5&amp;CHAR(39)&amp;CHAR(34)</f>
        <v>ssh -i p2pstorage.pem ec2-user@172.31.24.48 "sh -c 'cd node; nohup ./stopServer.sh &gt; /dev/null 2&gt;&amp;1 &amp;'"</v>
      </c>
    </row>
    <row r="10" spans="2:2" x14ac:dyDescent="0.25">
      <c r="B10" t="str">
        <f>B$2&amp;info!E5&amp;" "&amp;CHAR(34)&amp;B$3&amp;CHAR(39)&amp;B$4&amp;B$5&amp;CHAR(39)&amp;CHAR(34)</f>
        <v>ssh -i p2pstorage.pem ec2-user@172.31.19.20 "sh -c 'cd node; nohup ./stopServer.sh &gt; /dev/null 2&gt;&amp;1 &amp;'"</v>
      </c>
    </row>
    <row r="11" spans="2:2" x14ac:dyDescent="0.25">
      <c r="B11" t="str">
        <f>B$2&amp;info!E6&amp;" "&amp;CHAR(34)&amp;B$3&amp;CHAR(39)&amp;B$4&amp;B$5&amp;CHAR(39)&amp;CHAR(34)</f>
        <v>ssh -i p2pstorage.pem ec2-user@172.31.21.44 "sh -c 'cd node; nohup ./stopServer.sh &gt; /dev/null 2&gt;&amp;1 &amp;'"</v>
      </c>
    </row>
    <row r="12" spans="2:2" x14ac:dyDescent="0.25">
      <c r="B12" t="str">
        <f>B$2&amp;info!E7&amp;" "&amp;CHAR(34)&amp;B$3&amp;CHAR(39)&amp;B$4&amp;B$5&amp;CHAR(39)&amp;CHAR(34)</f>
        <v>ssh -i p2pstorage.pem ec2-user@172.31.42.48 "sh -c 'cd node; nohup ./stopServer.sh &gt; /dev/null 2&gt;&amp;1 &amp;'"</v>
      </c>
    </row>
    <row r="13" spans="2:2" x14ac:dyDescent="0.25">
      <c r="B13" t="str">
        <f>B$2&amp;info!E8&amp;" "&amp;CHAR(34)&amp;B$3&amp;CHAR(39)&amp;B$4&amp;B$5&amp;CHAR(39)&amp;CHAR(34)</f>
        <v>ssh -i p2pstorage.pem ec2-user@172.31.6.148 "sh -c 'cd node; nohup ./stopServer.sh &gt; /dev/null 2&gt;&amp;1 &amp;'"</v>
      </c>
    </row>
    <row r="14" spans="2:2" x14ac:dyDescent="0.25">
      <c r="B14" t="str">
        <f>B$2&amp;info!E9&amp;" "&amp;CHAR(34)&amp;B$3&amp;CHAR(39)&amp;B$4&amp;B$5&amp;CHAR(39)&amp;CHAR(34)</f>
        <v>ssh -i p2pstorage.pem ec2-user@172.31.21.20 "sh -c 'cd node; nohup ./stopServer.sh &gt; /dev/null 2&gt;&amp;1 &amp;'"</v>
      </c>
    </row>
    <row r="15" spans="2:2" x14ac:dyDescent="0.25">
      <c r="B15" t="str">
        <f>B$2&amp;info!E10&amp;" "&amp;CHAR(34)&amp;B$3&amp;CHAR(39)&amp;B$4&amp;B$5&amp;CHAR(39)&amp;CHAR(34)</f>
        <v>ssh -i p2pstorage.pem ec2-user@172.31.29.51 "sh -c 'cd node; nohup ./stopServer.sh &gt; /dev/null 2&gt;&amp;1 &amp;'"</v>
      </c>
    </row>
    <row r="16" spans="2:2" x14ac:dyDescent="0.25">
      <c r="B16" t="str">
        <f>B$2&amp;info!E11&amp;" "&amp;CHAR(34)&amp;B$3&amp;CHAR(39)&amp;B$4&amp;B$5&amp;CHAR(39)&amp;CHAR(34)</f>
        <v>ssh -i p2pstorage.pem ec2-user@172.31.27.113 "sh -c 'cd node; nohup ./stopServer.sh &gt; /dev/null 2&gt;&amp;1 &amp;'"</v>
      </c>
    </row>
    <row r="17" spans="2:2" x14ac:dyDescent="0.25">
      <c r="B17" t="str">
        <f>B$2&amp;info!E12&amp;" "&amp;CHAR(34)&amp;B$3&amp;CHAR(39)&amp;B$4&amp;B$5&amp;CHAR(39)&amp;CHAR(34)</f>
        <v>ssh -i p2pstorage.pem ec2-user@172.31.31.235 "sh -c 'cd node; nohup ./stopServer.sh &gt; /dev/null 2&gt;&amp;1 &amp;'"</v>
      </c>
    </row>
    <row r="18" spans="2:2" x14ac:dyDescent="0.25">
      <c r="B18" t="str">
        <f>B$2&amp;info!E13&amp;" "&amp;CHAR(34)&amp;B$3&amp;CHAR(39)&amp;B$4&amp;B$5&amp;CHAR(39)&amp;CHAR(34)</f>
        <v>ssh -i p2pstorage.pem ec2-user@172.31.23.24 "sh -c 'cd node; nohup ./stopServer.sh &gt; /dev/null 2&gt;&amp;1 &amp;'"</v>
      </c>
    </row>
    <row r="19" spans="2:2" x14ac:dyDescent="0.25">
      <c r="B19" t="str">
        <f>B$2&amp;info!E14&amp;" "&amp;CHAR(34)&amp;B$3&amp;CHAR(39)&amp;B$4&amp;B$5&amp;CHAR(39)&amp;CHAR(34)</f>
        <v>ssh -i p2pstorage.pem ec2-user@172.31.28.220 "sh -c 'cd node; nohup ./stopServer.sh &gt; /dev/null 2&gt;&amp;1 &amp;'"</v>
      </c>
    </row>
    <row r="20" spans="2:2" x14ac:dyDescent="0.25">
      <c r="B20" t="str">
        <f>B$2&amp;info!E15&amp;" "&amp;CHAR(34)&amp;B$3&amp;CHAR(39)&amp;B$4&amp;B$5&amp;CHAR(39)&amp;CHAR(34)</f>
        <v>ssh -i p2pstorage.pem ec2-user@172.31.28.38 "sh -c 'cd node; nohup ./stopServer.sh &gt; /dev/null 2&gt;&amp;1 &amp;'"</v>
      </c>
    </row>
    <row r="21" spans="2:2" x14ac:dyDescent="0.25">
      <c r="B21" t="str">
        <f>B$2&amp;info!E16&amp;" "&amp;CHAR(34)&amp;B$3&amp;CHAR(39)&amp;B$4&amp;B$5&amp;CHAR(39)&amp;CHAR(34)</f>
        <v>ssh -i p2pstorage.pem ec2-user@172.31.31.7 "sh -c 'cd node; nohup ./stopServer.sh &gt; /dev/null 2&gt;&amp;1 &amp;'"</v>
      </c>
    </row>
    <row r="22" spans="2:2" x14ac:dyDescent="0.25">
      <c r="B22" t="str">
        <f>B$2&amp;info!E17&amp;" "&amp;CHAR(34)&amp;B$3&amp;CHAR(39)&amp;B$4&amp;B$5&amp;CHAR(39)&amp;CHAR(34)</f>
        <v>ssh -i p2pstorage.pem ec2-user@172.31.19.38 "sh -c 'cd node; nohup ./stopServer.sh &gt; /dev/null 2&gt;&amp;1 &amp;'"</v>
      </c>
    </row>
    <row r="23" spans="2:2" x14ac:dyDescent="0.25">
      <c r="B23" t="str">
        <f>B$2&amp;info!E18&amp;" "&amp;CHAR(34)&amp;B$3&amp;CHAR(39)&amp;B$4&amp;B$5&amp;CHAR(39)&amp;CHAR(34)</f>
        <v>ssh -i p2pstorage.pem ec2-user@172.31.19.160 "sh -c 'cd node; nohup ./stopServer.sh &gt; /dev/null 2&gt;&amp;1 &amp;'"</v>
      </c>
    </row>
    <row r="24" spans="2:2" x14ac:dyDescent="0.25">
      <c r="B24" t="str">
        <f>B$2&amp;info!E19&amp;" "&amp;CHAR(34)&amp;B$3&amp;CHAR(39)&amp;B$4&amp;B$5&amp;CHAR(39)&amp;CHAR(34)</f>
        <v>ssh -i p2pstorage.pem ec2-user@172.31.16.91 "sh -c 'cd node; nohup ./stopServer.sh &gt; /dev/null 2&gt;&amp;1 &amp;'"</v>
      </c>
    </row>
    <row r="25" spans="2:2" x14ac:dyDescent="0.25">
      <c r="B25" t="str">
        <f>B$2&amp;info!E20&amp;" "&amp;CHAR(34)&amp;B$3&amp;CHAR(39)&amp;B$4&amp;B$5&amp;CHAR(39)&amp;CHAR(34)</f>
        <v>ssh -i p2pstorage.pem ec2-user@172.31.22.207 "sh -c 'cd node; nohup ./stopServer.sh &gt; /dev/null 2&gt;&amp;1 &amp;'"</v>
      </c>
    </row>
    <row r="26" spans="2:2" x14ac:dyDescent="0.25">
      <c r="B26" t="str">
        <f>B$2&amp;info!E21&amp;" "&amp;CHAR(34)&amp;B$3&amp;CHAR(39)&amp;B$4&amp;B$5&amp;CHAR(39)&amp;CHAR(34)</f>
        <v>ssh -i p2pstorage.pem ec2-user@172.31.25.39 "sh -c 'cd node; nohup ./stopServer.sh &gt; /dev/null 2&gt;&amp;1 &amp;'"</v>
      </c>
    </row>
    <row r="28" spans="2:2" x14ac:dyDescent="0.25">
      <c r="B28" t="str">
        <f>B$2&amp;info!E23&amp;" "&amp;CHAR(34)&amp;B$3&amp;CHAR(39)&amp;B$4&amp;B$5&amp;CHAR(39)&amp;CHAR(34)</f>
        <v>ssh -i p2pstorage.pem ec2-user@172.31.18.213 "sh -c 'cd node; nohup ./stopServer.sh &gt; /dev/null 2&gt;&amp;1 &amp;'"</v>
      </c>
    </row>
    <row r="29" spans="2:2" x14ac:dyDescent="0.25">
      <c r="B29" t="str">
        <f>B$2&amp;info!E24&amp;" "&amp;CHAR(34)&amp;B$3&amp;CHAR(39)&amp;B$4&amp;B$5&amp;CHAR(39)&amp;CHAR(34)</f>
        <v>ssh -i p2pstorage.pem ec2-user@172.31.23.72 "sh -c 'cd node; nohup ./stopServer.sh &gt; /dev/null 2&gt;&amp;1 &amp;'"</v>
      </c>
    </row>
    <row r="30" spans="2:2" x14ac:dyDescent="0.25">
      <c r="B30" t="str">
        <f>B$2&amp;info!E25&amp;" "&amp;CHAR(34)&amp;B$3&amp;CHAR(39)&amp;B$4&amp;B$5&amp;CHAR(39)&amp;CHAR(34)</f>
        <v>ssh -i p2pstorage.pem ec2-user@172.31.31.24 "sh -c 'cd node; nohup ./stopServer.sh &gt; /dev/null 2&gt;&amp;1 &amp;'"</v>
      </c>
    </row>
    <row r="31" spans="2:2" x14ac:dyDescent="0.25">
      <c r="B31" t="str">
        <f>B$2&amp;info!E26&amp;" "&amp;CHAR(34)&amp;B$3&amp;CHAR(39)&amp;B$4&amp;B$5&amp;CHAR(39)&amp;CHAR(34)</f>
        <v>ssh -i p2pstorage.pem ec2-user@172.31.27.58 "sh -c 'cd node; nohup ./stopServer.sh &gt; /dev/null 2&gt;&amp;1 &amp;'"</v>
      </c>
    </row>
    <row r="32" spans="2:2" x14ac:dyDescent="0.25">
      <c r="B32" t="str">
        <f>B$2&amp;info!E27&amp;" "&amp;CHAR(34)&amp;B$3&amp;CHAR(39)&amp;B$4&amp;B$5&amp;CHAR(39)&amp;CHAR(34)</f>
        <v>ssh -i p2pstorage.pem ec2-user@172.31.17.169 "sh -c 'cd node; nohup ./stopServer.sh &gt; /dev/null 2&gt;&amp;1 &amp;'"</v>
      </c>
    </row>
    <row r="33" spans="2:2" x14ac:dyDescent="0.25">
      <c r="B33" t="str">
        <f>B$2&amp;info!E28&amp;" "&amp;CHAR(34)&amp;B$3&amp;CHAR(39)&amp;B$4&amp;B$5&amp;CHAR(39)&amp;CHAR(34)</f>
        <v>ssh -i p2pstorage.pem ec2-user@172.31.28.12 "sh -c 'cd node; nohup ./stopServer.sh &gt; /dev/null 2&gt;&amp;1 &amp;'"</v>
      </c>
    </row>
    <row r="34" spans="2:2" x14ac:dyDescent="0.25">
      <c r="B34" t="str">
        <f>B$2&amp;info!E29&amp;" "&amp;CHAR(34)&amp;B$3&amp;CHAR(39)&amp;B$4&amp;B$5&amp;CHAR(39)&amp;CHAR(34)</f>
        <v>ssh -i p2pstorage.pem ec2-user@172.31.20.85 "sh -c 'cd node; nohup ./stopServer.sh &gt; /dev/null 2&gt;&amp;1 &amp;'"</v>
      </c>
    </row>
    <row r="35" spans="2:2" x14ac:dyDescent="0.25">
      <c r="B35" t="str">
        <f>B$2&amp;info!E30&amp;" "&amp;CHAR(34)&amp;B$3&amp;CHAR(39)&amp;B$4&amp;B$5&amp;CHAR(39)&amp;CHAR(34)</f>
        <v>ssh -i p2pstorage.pem ec2-user@172.31.24.7 "sh -c 'cd node; nohup ./stopServer.sh &gt; /dev/null 2&gt;&amp;1 &amp;'"</v>
      </c>
    </row>
    <row r="36" spans="2:2" x14ac:dyDescent="0.25">
      <c r="B36" t="str">
        <f>B$2&amp;info!E31&amp;" "&amp;CHAR(34)&amp;B$3&amp;CHAR(39)&amp;B$4&amp;B$5&amp;CHAR(39)&amp;CHAR(34)</f>
        <v>ssh -i p2pstorage.pem ec2-user@172.31.29.177 "sh -c 'cd node; nohup ./stopServer.sh &gt; /dev/null 2&gt;&amp;1 &amp;'"</v>
      </c>
    </row>
    <row r="37" spans="2:2" x14ac:dyDescent="0.25">
      <c r="B37" t="str">
        <f>B$2&amp;info!E32&amp;" "&amp;CHAR(34)&amp;B$3&amp;CHAR(39)&amp;B$4&amp;B$5&amp;CHAR(39)&amp;CHAR(34)</f>
        <v>ssh -i p2pstorage.pem ec2-user@172.31.18.111 "sh -c 'cd node; nohup ./stopServer.sh &gt; /dev/null 2&gt;&amp;1 &amp;'"</v>
      </c>
    </row>
    <row r="38" spans="2:2" x14ac:dyDescent="0.25">
      <c r="B38" t="str">
        <f>B$2&amp;info!E33&amp;" "&amp;CHAR(34)&amp;B$3&amp;CHAR(39)&amp;B$4&amp;B$5&amp;CHAR(39)&amp;CHAR(34)</f>
        <v>ssh -i p2pstorage.pem ec2-user@172.31.18.88 "sh -c 'cd node; nohup ./stopServer.sh &gt; /dev/null 2&gt;&amp;1 &amp;'"</v>
      </c>
    </row>
    <row r="39" spans="2:2" x14ac:dyDescent="0.25">
      <c r="B39" t="str">
        <f>B$2&amp;info!E34&amp;" "&amp;CHAR(34)&amp;B$3&amp;CHAR(39)&amp;B$4&amp;B$5&amp;CHAR(39)&amp;CHAR(34)</f>
        <v>ssh -i p2pstorage.pem ec2-user@172.31.27.94 "sh -c 'cd node; nohup ./stopServer.sh &gt; /dev/null 2&gt;&amp;1 &amp;'"</v>
      </c>
    </row>
    <row r="40" spans="2:2" x14ac:dyDescent="0.25">
      <c r="B40" t="str">
        <f>B$2&amp;info!E35&amp;" "&amp;CHAR(34)&amp;B$3&amp;CHAR(39)&amp;B$4&amp;B$5&amp;CHAR(39)&amp;CHAR(34)</f>
        <v>ssh -i p2pstorage.pem ec2-user@172.31.28.207 "sh -c 'cd node; nohup ./stopServer.sh &gt; /dev/null 2&gt;&amp;1 &amp;'"</v>
      </c>
    </row>
    <row r="41" spans="2:2" x14ac:dyDescent="0.25">
      <c r="B41" t="str">
        <f>B$2&amp;info!E36&amp;" "&amp;CHAR(34)&amp;B$3&amp;CHAR(39)&amp;B$4&amp;B$5&amp;CHAR(39)&amp;CHAR(34)</f>
        <v>ssh -i p2pstorage.pem ec2-user@172.31.28.32 "sh -c 'cd node; nohup ./stopServer.sh &gt; /dev/null 2&gt;&amp;1 &amp;'"</v>
      </c>
    </row>
    <row r="42" spans="2:2" x14ac:dyDescent="0.25">
      <c r="B42" t="str">
        <f>B$2&amp;info!E37&amp;" "&amp;CHAR(34)&amp;B$3&amp;CHAR(39)&amp;B$4&amp;B$5&amp;CHAR(39)&amp;CHAR(34)</f>
        <v>ssh -i p2pstorage.pem ec2-user@172.31.22.108 "sh -c 'cd node; nohup ./stopServer.sh &gt; /dev/null 2&gt;&amp;1 &amp;'"</v>
      </c>
    </row>
    <row r="43" spans="2:2" x14ac:dyDescent="0.25">
      <c r="B43" t="str">
        <f>B$2&amp;info!E38&amp;" "&amp;CHAR(34)&amp;B$3&amp;CHAR(39)&amp;B$4&amp;B$5&amp;CHAR(39)&amp;CHAR(34)</f>
        <v>ssh -i p2pstorage.pem ec2-user@172.31.19.189 "sh -c 'cd node; nohup ./stopServer.sh &gt; /dev/null 2&gt;&amp;1 &amp;'"</v>
      </c>
    </row>
    <row r="44" spans="2:2" x14ac:dyDescent="0.25">
      <c r="B44" t="str">
        <f>B$2&amp;info!E39&amp;" "&amp;CHAR(34)&amp;B$3&amp;CHAR(39)&amp;B$4&amp;B$5&amp;CHAR(39)&amp;CHAR(34)</f>
        <v>ssh -i p2pstorage.pem ec2-user@172.31.16.175 "sh -c 'cd node; nohup ./stopServer.sh &gt; /dev/null 2&gt;&amp;1 &amp;'"</v>
      </c>
    </row>
    <row r="45" spans="2:2" x14ac:dyDescent="0.25">
      <c r="B45" t="str">
        <f>B$2&amp;info!E40&amp;" "&amp;CHAR(34)&amp;B$3&amp;CHAR(39)&amp;B$4&amp;B$5&amp;CHAR(39)&amp;CHAR(34)</f>
        <v>ssh -i p2pstorage.pem ec2-user@172.31.26.82 "sh -c 'cd node; nohup ./stopServer.sh &gt; /dev/null 2&gt;&amp;1 &amp;'"</v>
      </c>
    </row>
    <row r="46" spans="2:2" x14ac:dyDescent="0.25">
      <c r="B46" t="str">
        <f>B$2&amp;info!E41&amp;" "&amp;CHAR(34)&amp;B$3&amp;CHAR(39)&amp;B$4&amp;B$5&amp;CHAR(39)&amp;CHAR(34)</f>
        <v>ssh -i p2pstorage.pem ec2-user@172.31.29.98 "sh -c 'cd node; nohup ./stopServer.sh &gt; /dev/null 2&gt;&amp;1 &amp;'"</v>
      </c>
    </row>
    <row r="47" spans="2:2" x14ac:dyDescent="0.25">
      <c r="B47" t="str">
        <f>B$2&amp;info!E42&amp;" "&amp;CHAR(34)&amp;B$3&amp;CHAR(39)&amp;B$4&amp;B$5&amp;CHAR(39)&amp;CHAR(34)</f>
        <v>ssh -i p2pstorage.pem ec2-user@172.31.23.103 "sh -c 'cd node; nohup ./stopServer.sh &gt; /dev/null 2&gt;&amp;1 &amp;'"</v>
      </c>
    </row>
    <row r="49" spans="2:2" x14ac:dyDescent="0.25">
      <c r="B49" t="str">
        <f>B$2&amp;info!E44&amp;" "&amp;CHAR(34)&amp;B$3&amp;CHAR(39)&amp;B$4&amp;B$5&amp;CHAR(39)&amp;CHAR(34)</f>
        <v>ssh -i p2pstorage.pem ec2-user@172.31.29.34 "sh -c 'cd node; nohup ./stopServer.sh &gt; /dev/null 2&gt;&amp;1 &amp;'"</v>
      </c>
    </row>
    <row r="50" spans="2:2" x14ac:dyDescent="0.25">
      <c r="B50" t="str">
        <f>B$2&amp;info!E45&amp;" "&amp;CHAR(34)&amp;B$3&amp;CHAR(39)&amp;B$4&amp;B$5&amp;CHAR(39)&amp;CHAR(34)</f>
        <v>ssh -i p2pstorage.pem ec2-user@172.31.31.208 "sh -c 'cd node; nohup ./stopServer.sh &gt; /dev/null 2&gt;&amp;1 &amp;'"</v>
      </c>
    </row>
    <row r="51" spans="2:2" x14ac:dyDescent="0.25">
      <c r="B51" t="str">
        <f>B$2&amp;info!E46&amp;" "&amp;CHAR(34)&amp;B$3&amp;CHAR(39)&amp;B$4&amp;B$5&amp;CHAR(39)&amp;CHAR(34)</f>
        <v>ssh -i p2pstorage.pem ec2-user@172.31.19.51 "sh -c 'cd node; nohup ./stopServer.sh &gt; /dev/null 2&gt;&amp;1 &amp;'"</v>
      </c>
    </row>
    <row r="52" spans="2:2" x14ac:dyDescent="0.25">
      <c r="B52" t="str">
        <f>B$2&amp;info!E47&amp;" "&amp;CHAR(34)&amp;B$3&amp;CHAR(39)&amp;B$4&amp;B$5&amp;CHAR(39)&amp;CHAR(34)</f>
        <v>ssh -i p2pstorage.pem ec2-user@172.31.31.54 "sh -c 'cd node; nohup ./stopServer.sh &gt; /dev/null 2&gt;&amp;1 &amp;'"</v>
      </c>
    </row>
    <row r="53" spans="2:2" x14ac:dyDescent="0.25">
      <c r="B53" t="str">
        <f>B$2&amp;info!E48&amp;" "&amp;CHAR(34)&amp;B$3&amp;CHAR(39)&amp;B$4&amp;B$5&amp;CHAR(39)&amp;CHAR(34)</f>
        <v>ssh -i p2pstorage.pem ec2-user@172.31.26.164 "sh -c 'cd node; nohup ./stopServer.sh &gt; /dev/null 2&gt;&amp;1 &amp;'"</v>
      </c>
    </row>
    <row r="54" spans="2:2" x14ac:dyDescent="0.25">
      <c r="B54" t="str">
        <f>B$2&amp;info!E49&amp;" "&amp;CHAR(34)&amp;B$3&amp;CHAR(39)&amp;B$4&amp;B$5&amp;CHAR(39)&amp;CHAR(34)</f>
        <v>ssh -i p2pstorage.pem ec2-user@172.31.25.233 "sh -c 'cd node; nohup ./stopServer.sh &gt; /dev/null 2&gt;&amp;1 &amp;'"</v>
      </c>
    </row>
    <row r="55" spans="2:2" x14ac:dyDescent="0.25">
      <c r="B55" t="str">
        <f>B$2&amp;info!E50&amp;" "&amp;CHAR(34)&amp;B$3&amp;CHAR(39)&amp;B$4&amp;B$5&amp;CHAR(39)&amp;CHAR(34)</f>
        <v>ssh -i p2pstorage.pem ec2-user@172.31.22.203 "sh -c 'cd node; nohup ./stopServer.sh &gt; /dev/null 2&gt;&amp;1 &amp;'"</v>
      </c>
    </row>
    <row r="56" spans="2:2" x14ac:dyDescent="0.25">
      <c r="B56" t="str">
        <f>B$2&amp;info!E51&amp;" "&amp;CHAR(34)&amp;B$3&amp;CHAR(39)&amp;B$4&amp;B$5&amp;CHAR(39)&amp;CHAR(34)</f>
        <v>ssh -i p2pstorage.pem ec2-user@172.31.19.225 "sh -c 'cd node; nohup ./stopServer.sh &gt; /dev/null 2&gt;&amp;1 &amp;'"</v>
      </c>
    </row>
    <row r="57" spans="2:2" x14ac:dyDescent="0.25">
      <c r="B57" t="str">
        <f>B$2&amp;info!E52&amp;" "&amp;CHAR(34)&amp;B$3&amp;CHAR(39)&amp;B$4&amp;B$5&amp;CHAR(39)&amp;CHAR(34)</f>
        <v>ssh -i p2pstorage.pem ec2-user@172.31.26.244 "sh -c 'cd node; nohup ./stopServer.sh &gt; /dev/null 2&gt;&amp;1 &amp;'"</v>
      </c>
    </row>
    <row r="58" spans="2:2" x14ac:dyDescent="0.25">
      <c r="B58" t="str">
        <f>B$2&amp;info!E53&amp;" "&amp;CHAR(34)&amp;B$3&amp;CHAR(39)&amp;B$4&amp;B$5&amp;CHAR(39)&amp;CHAR(34)</f>
        <v>ssh -i p2pstorage.pem ec2-user@172.31.30.61 "sh -c 'cd node; nohup ./stopServer.sh &gt; /dev/null 2&gt;&amp;1 &amp;'"</v>
      </c>
    </row>
    <row r="59" spans="2:2" x14ac:dyDescent="0.25">
      <c r="B59" t="str">
        <f>B$2&amp;info!E54&amp;" "&amp;CHAR(34)&amp;B$3&amp;CHAR(39)&amp;B$4&amp;B$5&amp;CHAR(39)&amp;CHAR(34)</f>
        <v>ssh -i p2pstorage.pem ec2-user@172.31.29.11 "sh -c 'cd node; nohup ./stopServer.sh &gt; /dev/null 2&gt;&amp;1 &amp;'"</v>
      </c>
    </row>
    <row r="60" spans="2:2" x14ac:dyDescent="0.25">
      <c r="B60" t="str">
        <f>B$2&amp;info!E55&amp;" "&amp;CHAR(34)&amp;B$3&amp;CHAR(39)&amp;B$4&amp;B$5&amp;CHAR(39)&amp;CHAR(34)</f>
        <v>ssh -i p2pstorage.pem ec2-user@172.31.17.199 "sh -c 'cd node; nohup ./stopServer.sh &gt; /dev/null 2&gt;&amp;1 &amp;'"</v>
      </c>
    </row>
    <row r="61" spans="2:2" x14ac:dyDescent="0.25">
      <c r="B61" t="str">
        <f>B$2&amp;info!E56&amp;" "&amp;CHAR(34)&amp;B$3&amp;CHAR(39)&amp;B$4&amp;B$5&amp;CHAR(39)&amp;CHAR(34)</f>
        <v>ssh -i p2pstorage.pem ec2-user@172.31.26.151 "sh -c 'cd node; nohup ./stopServer.sh &gt; /dev/null 2&gt;&amp;1 &amp;'"</v>
      </c>
    </row>
    <row r="62" spans="2:2" x14ac:dyDescent="0.25">
      <c r="B62" t="str">
        <f>B$2&amp;info!E57&amp;" "&amp;CHAR(34)&amp;B$3&amp;CHAR(39)&amp;B$4&amp;B$5&amp;CHAR(39)&amp;CHAR(34)</f>
        <v>ssh -i p2pstorage.pem ec2-user@172.31.25.77 "sh -c 'cd node; nohup ./stopServer.sh &gt; /dev/null 2&gt;&amp;1 &amp;'"</v>
      </c>
    </row>
    <row r="63" spans="2:2" x14ac:dyDescent="0.25">
      <c r="B63" t="str">
        <f>B$2&amp;info!E58&amp;" "&amp;CHAR(34)&amp;B$3&amp;CHAR(39)&amp;B$4&amp;B$5&amp;CHAR(39)&amp;CHAR(34)</f>
        <v>ssh -i p2pstorage.pem ec2-user@172.31.27.166 "sh -c 'cd node; nohup ./stopServer.sh &gt; /dev/null 2&gt;&amp;1 &amp;'"</v>
      </c>
    </row>
    <row r="64" spans="2:2" x14ac:dyDescent="0.25">
      <c r="B64" t="str">
        <f>B$2&amp;info!E59&amp;" "&amp;CHAR(34)&amp;B$3&amp;CHAR(39)&amp;B$4&amp;B$5&amp;CHAR(39)&amp;CHAR(34)</f>
        <v>ssh -i p2pstorage.pem ec2-user@172.31.17.98 "sh -c 'cd node; nohup ./stopServer.sh &gt; /dev/null 2&gt;&amp;1 &amp;'"</v>
      </c>
    </row>
    <row r="65" spans="2:2" x14ac:dyDescent="0.25">
      <c r="B65" t="str">
        <f>B$2&amp;info!E60&amp;" "&amp;CHAR(34)&amp;B$3&amp;CHAR(39)&amp;B$4&amp;B$5&amp;CHAR(39)&amp;CHAR(34)</f>
        <v>ssh -i p2pstorage.pem ec2-user@172.31.27.25 "sh -c 'cd node; nohup ./stopServer.sh &gt; /dev/null 2&gt;&amp;1 &amp;'"</v>
      </c>
    </row>
    <row r="66" spans="2:2" x14ac:dyDescent="0.25">
      <c r="B66" t="str">
        <f>B$2&amp;info!E61&amp;" "&amp;CHAR(34)&amp;B$3&amp;CHAR(39)&amp;B$4&amp;B$5&amp;CHAR(39)&amp;CHAR(34)</f>
        <v>ssh -i p2pstorage.pem ec2-user@172.31.24.96 "sh -c 'cd node; nohup ./stopServer.sh &gt; /dev/null 2&gt;&amp;1 &amp;'"</v>
      </c>
    </row>
    <row r="67" spans="2:2" x14ac:dyDescent="0.25">
      <c r="B67" t="str">
        <f>B$2&amp;info!E62&amp;" "&amp;CHAR(34)&amp;B$3&amp;CHAR(39)&amp;B$4&amp;B$5&amp;CHAR(39)&amp;CHAR(34)</f>
        <v>ssh -i p2pstorage.pem ec2-user@172.31.22.197 "sh -c 'cd node; nohup ./stopServer.sh &gt; /dev/null 2&gt;&amp;1 &amp;'"</v>
      </c>
    </row>
    <row r="68" spans="2:2" x14ac:dyDescent="0.25">
      <c r="B68" t="str">
        <f>B$2&amp;info!E63&amp;" "&amp;CHAR(34)&amp;B$3&amp;CHAR(39)&amp;B$4&amp;B$5&amp;CHAR(39)&amp;CHAR(34)</f>
        <v>ssh -i p2pstorage.pem ec2-user@172.31.20.108 "sh -c 'cd node; nohup ./stopServer.sh &gt; /dev/null 2&gt;&amp;1 &amp;'"</v>
      </c>
    </row>
    <row r="70" spans="2:2" x14ac:dyDescent="0.25">
      <c r="B70" t="str">
        <f>B$2&amp;info!E65&amp;" "&amp;CHAR(34)&amp;B$3&amp;CHAR(39)&amp;B$4&amp;B$5&amp;CHAR(39)&amp;CHAR(34)</f>
        <v>ssh -i p2pstorage.pem ec2-user@172.31.27.188 "sh -c 'cd node; nohup ./stopServer.sh &gt; /dev/null 2&gt;&amp;1 &amp;'"</v>
      </c>
    </row>
    <row r="71" spans="2:2" x14ac:dyDescent="0.25">
      <c r="B71" t="str">
        <f>B$2&amp;info!E66&amp;" "&amp;CHAR(34)&amp;B$3&amp;CHAR(39)&amp;B$4&amp;B$5&amp;CHAR(39)&amp;CHAR(34)</f>
        <v>ssh -i p2pstorage.pem ec2-user@172.31.26.227 "sh -c 'cd node; nohup ./stopServer.sh &gt; /dev/null 2&gt;&amp;1 &amp;'"</v>
      </c>
    </row>
    <row r="72" spans="2:2" x14ac:dyDescent="0.25">
      <c r="B72" t="str">
        <f>B$2&amp;info!E67&amp;" "&amp;CHAR(34)&amp;B$3&amp;CHAR(39)&amp;B$4&amp;B$5&amp;CHAR(39)&amp;CHAR(34)</f>
        <v>ssh -i p2pstorage.pem ec2-user@172.31.19.74 "sh -c 'cd node; nohup ./stopServer.sh &gt; /dev/null 2&gt;&amp;1 &amp;'"</v>
      </c>
    </row>
    <row r="73" spans="2:2" x14ac:dyDescent="0.25">
      <c r="B73" t="str">
        <f>B$2&amp;info!E68&amp;" "&amp;CHAR(34)&amp;B$3&amp;CHAR(39)&amp;B$4&amp;B$5&amp;CHAR(39)&amp;CHAR(34)</f>
        <v>ssh -i p2pstorage.pem ec2-user@172.31.18.89 "sh -c 'cd node; nohup ./stopServer.sh &gt; /dev/null 2&gt;&amp;1 &amp;'"</v>
      </c>
    </row>
    <row r="74" spans="2:2" x14ac:dyDescent="0.25">
      <c r="B74" t="str">
        <f>B$2&amp;info!E69&amp;" "&amp;CHAR(34)&amp;B$3&amp;CHAR(39)&amp;B$4&amp;B$5&amp;CHAR(39)&amp;CHAR(34)</f>
        <v>ssh -i p2pstorage.pem ec2-user@172.31.22.198 "sh -c 'cd node; nohup ./stopServer.sh &gt; /dev/null 2&gt;&amp;1 &amp;'"</v>
      </c>
    </row>
    <row r="75" spans="2:2" x14ac:dyDescent="0.25">
      <c r="B75" t="str">
        <f>B$2&amp;info!E70&amp;" "&amp;CHAR(34)&amp;B$3&amp;CHAR(39)&amp;B$4&amp;B$5&amp;CHAR(39)&amp;CHAR(34)</f>
        <v>ssh -i p2pstorage.pem ec2-user@172.31.20.6 "sh -c 'cd node; nohup ./stopServer.sh &gt; /dev/null 2&gt;&amp;1 &amp;'"</v>
      </c>
    </row>
    <row r="76" spans="2:2" x14ac:dyDescent="0.25">
      <c r="B76" t="str">
        <f>B$2&amp;info!E71&amp;" "&amp;CHAR(34)&amp;B$3&amp;CHAR(39)&amp;B$4&amp;B$5&amp;CHAR(39)&amp;CHAR(34)</f>
        <v>ssh -i p2pstorage.pem ec2-user@172.31.24.234 "sh -c 'cd node; nohup ./stopServer.sh &gt; /dev/null 2&gt;&amp;1 &amp;'"</v>
      </c>
    </row>
    <row r="77" spans="2:2" x14ac:dyDescent="0.25">
      <c r="B77" t="str">
        <f>B$2&amp;info!E72&amp;" "&amp;CHAR(34)&amp;B$3&amp;CHAR(39)&amp;B$4&amp;B$5&amp;CHAR(39)&amp;CHAR(34)</f>
        <v>ssh -i p2pstorage.pem ec2-user@172.31.16.123 "sh -c 'cd node; nohup ./stopServer.sh &gt; /dev/null 2&gt;&amp;1 &amp;'"</v>
      </c>
    </row>
    <row r="78" spans="2:2" x14ac:dyDescent="0.25">
      <c r="B78" t="str">
        <f>B$2&amp;info!E73&amp;" "&amp;CHAR(34)&amp;B$3&amp;CHAR(39)&amp;B$4&amp;B$5&amp;CHAR(39)&amp;CHAR(34)</f>
        <v>ssh -i p2pstorage.pem ec2-user@172.31.22.139 "sh -c 'cd node; nohup ./stopServer.sh &gt; /dev/null 2&gt;&amp;1 &amp;'"</v>
      </c>
    </row>
    <row r="79" spans="2:2" x14ac:dyDescent="0.25">
      <c r="B79" t="str">
        <f>B$2&amp;info!E74&amp;" "&amp;CHAR(34)&amp;B$3&amp;CHAR(39)&amp;B$4&amp;B$5&amp;CHAR(39)&amp;CHAR(34)</f>
        <v>ssh -i p2pstorage.pem ec2-user@172.31.29.152 "sh -c 'cd node; nohup ./stopServer.sh &gt; /dev/null 2&gt;&amp;1 &amp;'"</v>
      </c>
    </row>
    <row r="80" spans="2:2" x14ac:dyDescent="0.25">
      <c r="B80" t="str">
        <f>B$2&amp;info!E75&amp;" "&amp;CHAR(34)&amp;B$3&amp;CHAR(39)&amp;B$4&amp;B$5&amp;CHAR(39)&amp;CHAR(34)</f>
        <v>ssh -i p2pstorage.pem ec2-user@172.31.28.114 "sh -c 'cd node; nohup ./stopServer.sh &gt; /dev/null 2&gt;&amp;1 &amp;'"</v>
      </c>
    </row>
    <row r="81" spans="2:2" x14ac:dyDescent="0.25">
      <c r="B81" t="str">
        <f>B$2&amp;info!E76&amp;" "&amp;CHAR(34)&amp;B$3&amp;CHAR(39)&amp;B$4&amp;B$5&amp;CHAR(39)&amp;CHAR(34)</f>
        <v>ssh -i p2pstorage.pem ec2-user@172.31.26.46 "sh -c 'cd node; nohup ./stopServer.sh &gt; /dev/null 2&gt;&amp;1 &amp;'"</v>
      </c>
    </row>
    <row r="82" spans="2:2" x14ac:dyDescent="0.25">
      <c r="B82" t="str">
        <f>B$2&amp;info!E77&amp;" "&amp;CHAR(34)&amp;B$3&amp;CHAR(39)&amp;B$4&amp;B$5&amp;CHAR(39)&amp;CHAR(34)</f>
        <v>ssh -i p2pstorage.pem ec2-user@172.31.17.17 "sh -c 'cd node; nohup ./stopServer.sh &gt; /dev/null 2&gt;&amp;1 &amp;'"</v>
      </c>
    </row>
    <row r="83" spans="2:2" x14ac:dyDescent="0.25">
      <c r="B83" t="str">
        <f>B$2&amp;info!E78&amp;" "&amp;CHAR(34)&amp;B$3&amp;CHAR(39)&amp;B$4&amp;B$5&amp;CHAR(39)&amp;CHAR(34)</f>
        <v>ssh -i p2pstorage.pem ec2-user@172.31.24.201 "sh -c 'cd node; nohup ./stopServer.sh &gt; /dev/null 2&gt;&amp;1 &amp;'"</v>
      </c>
    </row>
    <row r="84" spans="2:2" x14ac:dyDescent="0.25">
      <c r="B84" t="str">
        <f>B$2&amp;info!E79&amp;" "&amp;CHAR(34)&amp;B$3&amp;CHAR(39)&amp;B$4&amp;B$5&amp;CHAR(39)&amp;CHAR(34)</f>
        <v>ssh -i p2pstorage.pem ec2-user@172.31.19.18 "sh -c 'cd node; nohup ./stopServer.sh &gt; /dev/null 2&gt;&amp;1 &amp;'"</v>
      </c>
    </row>
    <row r="85" spans="2:2" x14ac:dyDescent="0.25">
      <c r="B85" t="str">
        <f>B$2&amp;info!E80&amp;" "&amp;CHAR(34)&amp;B$3&amp;CHAR(39)&amp;B$4&amp;B$5&amp;CHAR(39)&amp;CHAR(34)</f>
        <v>ssh -i p2pstorage.pem ec2-user@172.31.21.225 "sh -c 'cd node; nohup ./stopServer.sh &gt; /dev/null 2&gt;&amp;1 &amp;'"</v>
      </c>
    </row>
    <row r="86" spans="2:2" x14ac:dyDescent="0.25">
      <c r="B86" t="str">
        <f>B$2&amp;info!E81&amp;" "&amp;CHAR(34)&amp;B$3&amp;CHAR(39)&amp;B$4&amp;B$5&amp;CHAR(39)&amp;CHAR(34)</f>
        <v>ssh -i p2pstorage.pem ec2-user@172.31.16.19 "sh -c 'cd node; nohup ./stopServer.sh &gt; /dev/null 2&gt;&amp;1 &amp;'"</v>
      </c>
    </row>
    <row r="87" spans="2:2" x14ac:dyDescent="0.25">
      <c r="B87" t="str">
        <f>B$2&amp;info!E82&amp;" "&amp;CHAR(34)&amp;B$3&amp;CHAR(39)&amp;B$4&amp;B$5&amp;CHAR(39)&amp;CHAR(34)</f>
        <v>ssh -i p2pstorage.pem ec2-user@172.31.18.160 "sh -c 'cd node; nohup ./stopServer.sh &gt; /dev/null 2&gt;&amp;1 &amp;'"</v>
      </c>
    </row>
    <row r="88" spans="2:2" x14ac:dyDescent="0.25">
      <c r="B88" t="str">
        <f>B$2&amp;info!E83&amp;" "&amp;CHAR(34)&amp;B$3&amp;CHAR(39)&amp;B$4&amp;B$5&amp;CHAR(39)&amp;CHAR(34)</f>
        <v>ssh -i p2pstorage.pem ec2-user@172.31.31.237 "sh -c 'cd node; nohup ./stopServer.sh &gt; /dev/null 2&gt;&amp;1 &amp;'"</v>
      </c>
    </row>
    <row r="89" spans="2:2" x14ac:dyDescent="0.25">
      <c r="B89" t="str">
        <f>B$2&amp;info!E84&amp;" "&amp;CHAR(34)&amp;B$3&amp;CHAR(39)&amp;B$4&amp;B$5&amp;CHAR(39)&amp;CHAR(34)</f>
        <v>ssh -i p2pstorage.pem ec2-user@172.31.16.236 "sh -c 'cd node; nohup ./stopServer.sh &gt; /dev/null 2&gt;&amp;1 &amp;'"</v>
      </c>
    </row>
    <row r="91" spans="2:2" x14ac:dyDescent="0.25">
      <c r="B91" t="str">
        <f>B$2&amp;info!E86&amp;" "&amp;CHAR(34)&amp;B$3&amp;CHAR(39)&amp;B$4&amp;B$5&amp;CHAR(39)&amp;CHAR(34)</f>
        <v>ssh -i p2pstorage.pem ec2-user@172.31.29.142 "sh -c 'cd node; nohup ./stopServer.sh &gt; /dev/null 2&gt;&amp;1 &amp;'"</v>
      </c>
    </row>
    <row r="92" spans="2:2" x14ac:dyDescent="0.25">
      <c r="B92" t="str">
        <f>B$2&amp;info!E87&amp;" "&amp;CHAR(34)&amp;B$3&amp;CHAR(39)&amp;B$4&amp;B$5&amp;CHAR(39)&amp;CHAR(34)</f>
        <v>ssh -i p2pstorage.pem ec2-user@172.31.20.77 "sh -c 'cd node; nohup ./stopServer.sh &gt; /dev/null 2&gt;&amp;1 &amp;'"</v>
      </c>
    </row>
    <row r="93" spans="2:2" x14ac:dyDescent="0.25">
      <c r="B93" t="str">
        <f>B$2&amp;info!E88&amp;" "&amp;CHAR(34)&amp;B$3&amp;CHAR(39)&amp;B$4&amp;B$5&amp;CHAR(39)&amp;CHAR(34)</f>
        <v>ssh -i p2pstorage.pem ec2-user@172.31.20.25 "sh -c 'cd node; nohup ./stopServer.sh &gt; /dev/null 2&gt;&amp;1 &amp;'"</v>
      </c>
    </row>
    <row r="94" spans="2:2" x14ac:dyDescent="0.25">
      <c r="B94" t="str">
        <f>B$2&amp;info!E89&amp;" "&amp;CHAR(34)&amp;B$3&amp;CHAR(39)&amp;B$4&amp;B$5&amp;CHAR(39)&amp;CHAR(34)</f>
        <v>ssh -i p2pstorage.pem ec2-user@172.31.19.239 "sh -c 'cd node; nohup ./stopServer.sh &gt; /dev/null 2&gt;&amp;1 &amp;'"</v>
      </c>
    </row>
    <row r="95" spans="2:2" x14ac:dyDescent="0.25">
      <c r="B95" t="str">
        <f>B$2&amp;info!E90&amp;" "&amp;CHAR(34)&amp;B$3&amp;CHAR(39)&amp;B$4&amp;B$5&amp;CHAR(39)&amp;CHAR(34)</f>
        <v>ssh -i p2pstorage.pem ec2-user@172.31.23.251 "sh -c 'cd node; nohup ./stopServer.sh &gt; /dev/null 2&gt;&amp;1 &amp;'"</v>
      </c>
    </row>
    <row r="96" spans="2:2" x14ac:dyDescent="0.25">
      <c r="B96" t="str">
        <f>B$2&amp;info!E91&amp;" "&amp;CHAR(34)&amp;B$3&amp;CHAR(39)&amp;B$4&amp;B$5&amp;CHAR(39)&amp;CHAR(34)</f>
        <v>ssh -i p2pstorage.pem ec2-user@172.31.16.43 "sh -c 'cd node; nohup ./stopServer.sh &gt; /dev/null 2&gt;&amp;1 &amp;'"</v>
      </c>
    </row>
    <row r="97" spans="2:2" x14ac:dyDescent="0.25">
      <c r="B97" t="str">
        <f>B$2&amp;info!E92&amp;" "&amp;CHAR(34)&amp;B$3&amp;CHAR(39)&amp;B$4&amp;B$5&amp;CHAR(39)&amp;CHAR(34)</f>
        <v>ssh -i p2pstorage.pem ec2-user@172.31.21.110 "sh -c 'cd node; nohup ./stopServer.sh &gt; /dev/null 2&gt;&amp;1 &amp;'"</v>
      </c>
    </row>
    <row r="98" spans="2:2" x14ac:dyDescent="0.25">
      <c r="B98" t="str">
        <f>B$2&amp;info!E93&amp;" "&amp;CHAR(34)&amp;B$3&amp;CHAR(39)&amp;B$4&amp;B$5&amp;CHAR(39)&amp;CHAR(34)</f>
        <v>ssh -i p2pstorage.pem ec2-user@172.31.24.55 "sh -c 'cd node; nohup ./stopServer.sh &gt; /dev/null 2&gt;&amp;1 &amp;'"</v>
      </c>
    </row>
    <row r="99" spans="2:2" x14ac:dyDescent="0.25">
      <c r="B99" t="str">
        <f>B$2&amp;info!E94&amp;" "&amp;CHAR(34)&amp;B$3&amp;CHAR(39)&amp;B$4&amp;B$5&amp;CHAR(39)&amp;CHAR(34)</f>
        <v>ssh -i p2pstorage.pem ec2-user@172.31.31.148 "sh -c 'cd node; nohup ./stopServer.sh &gt; /dev/null 2&gt;&amp;1 &amp;'"</v>
      </c>
    </row>
    <row r="100" spans="2:2" x14ac:dyDescent="0.25">
      <c r="B100" t="str">
        <f>B$2&amp;info!E95&amp;" "&amp;CHAR(34)&amp;B$3&amp;CHAR(39)&amp;B$4&amp;B$5&amp;CHAR(39)&amp;CHAR(34)</f>
        <v>ssh -i p2pstorage.pem ec2-user@172.31.25.125 "sh -c 'cd node; nohup ./stopServer.sh &gt; /dev/null 2&gt;&amp;1 &amp;'"</v>
      </c>
    </row>
    <row r="101" spans="2:2" x14ac:dyDescent="0.25">
      <c r="B101" t="str">
        <f>B$2&amp;info!E96&amp;" "&amp;CHAR(34)&amp;B$3&amp;CHAR(39)&amp;B$4&amp;B$5&amp;CHAR(39)&amp;CHAR(34)</f>
        <v>ssh -i p2pstorage.pem ec2-user@172.31.22.253 "sh -c 'cd node; nohup ./stopServer.sh &gt; /dev/null 2&gt;&amp;1 &amp;'"</v>
      </c>
    </row>
    <row r="102" spans="2:2" x14ac:dyDescent="0.25">
      <c r="B102" t="str">
        <f>B$2&amp;info!E97&amp;" "&amp;CHAR(34)&amp;B$3&amp;CHAR(39)&amp;B$4&amp;B$5&amp;CHAR(39)&amp;CHAR(34)</f>
        <v>ssh -i p2pstorage.pem ec2-user@172.31.20.255 "sh -c 'cd node; nohup ./stopServer.sh &gt; /dev/null 2&gt;&amp;1 &amp;'"</v>
      </c>
    </row>
    <row r="103" spans="2:2" x14ac:dyDescent="0.25">
      <c r="B103" t="str">
        <f>B$2&amp;info!E98&amp;" "&amp;CHAR(34)&amp;B$3&amp;CHAR(39)&amp;B$4&amp;B$5&amp;CHAR(39)&amp;CHAR(34)</f>
        <v>ssh -i p2pstorage.pem ec2-user@172.31.18.234 "sh -c 'cd node; nohup ./stopServer.sh &gt; /dev/null 2&gt;&amp;1 &amp;'"</v>
      </c>
    </row>
    <row r="104" spans="2:2" x14ac:dyDescent="0.25">
      <c r="B104" t="str">
        <f>B$2&amp;info!E99&amp;" "&amp;CHAR(34)&amp;B$3&amp;CHAR(39)&amp;B$4&amp;B$5&amp;CHAR(39)&amp;CHAR(34)</f>
        <v>ssh -i p2pstorage.pem ec2-user@172.31.29.186 "sh -c 'cd node; nohup ./stopServer.sh &gt; /dev/null 2&gt;&amp;1 &amp;'"</v>
      </c>
    </row>
    <row r="105" spans="2:2" x14ac:dyDescent="0.25">
      <c r="B105" t="str">
        <f>B$2&amp;info!E100&amp;" "&amp;CHAR(34)&amp;B$3&amp;CHAR(39)&amp;B$4&amp;B$5&amp;CHAR(39)&amp;CHAR(34)</f>
        <v>ssh -i p2pstorage.pem ec2-user@172.31.31.15 "sh -c 'cd node; nohup ./stopServer.sh &gt; /dev/null 2&gt;&amp;1 &amp;'"</v>
      </c>
    </row>
    <row r="106" spans="2:2" x14ac:dyDescent="0.25">
      <c r="B106" t="str">
        <f>B$2&amp;info!E101&amp;" "&amp;CHAR(34)&amp;B$3&amp;CHAR(39)&amp;B$4&amp;B$5&amp;CHAR(39)&amp;CHAR(34)</f>
        <v>ssh -i p2pstorage.pem ec2-user@172.31.25.144 "sh -c 'cd node; nohup ./stopServer.sh &gt; /dev/null 2&gt;&amp;1 &amp;'"</v>
      </c>
    </row>
    <row r="107" spans="2:2" x14ac:dyDescent="0.25">
      <c r="B107" t="str">
        <f>B$2&amp;info!E102&amp;" "&amp;CHAR(34)&amp;B$3&amp;CHAR(39)&amp;B$4&amp;B$5&amp;CHAR(39)&amp;CHAR(34)</f>
        <v>ssh -i p2pstorage.pem ec2-user@172.31.20.104 "sh -c 'cd node; nohup ./stopServer.sh &gt; /dev/null 2&gt;&amp;1 &amp;'"</v>
      </c>
    </row>
    <row r="108" spans="2:2" x14ac:dyDescent="0.25">
      <c r="B108" t="str">
        <f>B$2&amp;info!E103&amp;" "&amp;CHAR(34)&amp;B$3&amp;CHAR(39)&amp;B$4&amp;B$5&amp;CHAR(39)&amp;CHAR(34)</f>
        <v>ssh -i p2pstorage.pem ec2-user@172.31.25.100 "sh -c 'cd node; nohup ./stopServer.sh &gt; /dev/null 2&gt;&amp;1 &amp;'"</v>
      </c>
    </row>
    <row r="109" spans="2:2" x14ac:dyDescent="0.25">
      <c r="B109" t="str">
        <f>B$2&amp;info!E104&amp;" "&amp;CHAR(34)&amp;B$3&amp;CHAR(39)&amp;B$4&amp;B$5&amp;CHAR(39)&amp;CHAR(34)</f>
        <v>ssh -i p2pstorage.pem ec2-user@172.31.25.167 "sh -c 'cd node; nohup ./stopServer.sh &gt; /dev/null 2&gt;&amp;1 &amp;'"</v>
      </c>
    </row>
    <row r="110" spans="2:2" x14ac:dyDescent="0.25">
      <c r="B110" t="str">
        <f>B$2&amp;info!E105&amp;" "&amp;CHAR(34)&amp;B$3&amp;CHAR(39)&amp;B$4&amp;B$5&amp;CHAR(39)&amp;CHAR(34)</f>
        <v>ssh -i p2pstorage.pem ec2-user@172.31.28.55 "sh -c 'cd node; nohup ./stopServer.sh &gt; /dev/null 2&gt;&amp;1 &amp;'"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84E1-AE63-4C08-9686-498E6F407E11}">
  <dimension ref="B2:H110"/>
  <sheetViews>
    <sheetView topLeftCell="A82" workbookViewId="0">
      <selection activeCell="B7" sqref="B7:B110"/>
    </sheetView>
  </sheetViews>
  <sheetFormatPr defaultRowHeight="15" x14ac:dyDescent="0.25"/>
  <sheetData>
    <row r="2" spans="2:8" x14ac:dyDescent="0.25">
      <c r="B2" t="s">
        <v>92</v>
      </c>
      <c r="H2" t="s">
        <v>91</v>
      </c>
    </row>
    <row r="3" spans="2:8" x14ac:dyDescent="0.25">
      <c r="B3" t="s">
        <v>151</v>
      </c>
    </row>
    <row r="4" spans="2:8" x14ac:dyDescent="0.25">
      <c r="B4" t="s">
        <v>152</v>
      </c>
    </row>
    <row r="7" spans="2:8" x14ac:dyDescent="0.25">
      <c r="B7" t="str">
        <f>B$2&amp;info!E2&amp;B$3&amp;CHAR(39)&amp;B$4&amp;CHAR(39)</f>
        <v>sftp -i p2pstorage.pem ec2-user@172.31.16.10:node/lib &lt;&lt;&lt; $'mput upload/lib/*'</v>
      </c>
    </row>
    <row r="8" spans="2:8" x14ac:dyDescent="0.25">
      <c r="B8" t="str">
        <f>B$2&amp;info!E3&amp;B$3&amp;CHAR(39)&amp;B$4&amp;CHAR(39)</f>
        <v>sftp -i p2pstorage.pem ec2-user@172.31.27.28:node/lib &lt;&lt;&lt; $'mput upload/lib/*'</v>
      </c>
    </row>
    <row r="9" spans="2:8" x14ac:dyDescent="0.25">
      <c r="B9" t="str">
        <f>B$2&amp;info!E4&amp;B$3&amp;CHAR(39)&amp;B$4&amp;CHAR(39)</f>
        <v>sftp -i p2pstorage.pem ec2-user@172.31.24.48:node/lib &lt;&lt;&lt; $'mput upload/lib/*'</v>
      </c>
    </row>
    <row r="10" spans="2:8" x14ac:dyDescent="0.25">
      <c r="B10" t="str">
        <f>B$2&amp;info!E5&amp;B$3&amp;CHAR(39)&amp;B$4&amp;CHAR(39)</f>
        <v>sftp -i p2pstorage.pem ec2-user@172.31.19.20:node/lib &lt;&lt;&lt; $'mput upload/lib/*'</v>
      </c>
    </row>
    <row r="11" spans="2:8" x14ac:dyDescent="0.25">
      <c r="B11" t="str">
        <f>B$2&amp;info!E6&amp;B$3&amp;CHAR(39)&amp;B$4&amp;CHAR(39)</f>
        <v>sftp -i p2pstorage.pem ec2-user@172.31.21.44:node/lib &lt;&lt;&lt; $'mput upload/lib/*'</v>
      </c>
    </row>
    <row r="12" spans="2:8" x14ac:dyDescent="0.25">
      <c r="B12" t="str">
        <f>B$2&amp;info!E7&amp;B$3&amp;CHAR(39)&amp;B$4&amp;CHAR(39)</f>
        <v>sftp -i p2pstorage.pem ec2-user@172.31.42.48:node/lib &lt;&lt;&lt; $'mput upload/lib/*'</v>
      </c>
    </row>
    <row r="13" spans="2:8" x14ac:dyDescent="0.25">
      <c r="B13" t="str">
        <f>B$2&amp;info!E8&amp;B$3&amp;CHAR(39)&amp;B$4&amp;CHAR(39)</f>
        <v>sftp -i p2pstorage.pem ec2-user@172.31.6.148:node/lib &lt;&lt;&lt; $'mput upload/lib/*'</v>
      </c>
    </row>
    <row r="14" spans="2:8" x14ac:dyDescent="0.25">
      <c r="B14" t="str">
        <f>B$2&amp;info!E9&amp;B$3&amp;CHAR(39)&amp;B$4&amp;CHAR(39)</f>
        <v>sftp -i p2pstorage.pem ec2-user@172.31.21.20:node/lib &lt;&lt;&lt; $'mput upload/lib/*'</v>
      </c>
    </row>
    <row r="15" spans="2:8" x14ac:dyDescent="0.25">
      <c r="B15" t="str">
        <f>B$2&amp;info!E10&amp;B$3&amp;CHAR(39)&amp;B$4&amp;CHAR(39)</f>
        <v>sftp -i p2pstorage.pem ec2-user@172.31.29.51:node/lib &lt;&lt;&lt; $'mput upload/lib/*'</v>
      </c>
    </row>
    <row r="16" spans="2:8" x14ac:dyDescent="0.25">
      <c r="B16" t="str">
        <f>B$2&amp;info!E11&amp;B$3&amp;CHAR(39)&amp;B$4&amp;CHAR(39)</f>
        <v>sftp -i p2pstorage.pem ec2-user@172.31.27.113:node/lib &lt;&lt;&lt; $'mput upload/lib/*'</v>
      </c>
    </row>
    <row r="17" spans="2:2" x14ac:dyDescent="0.25">
      <c r="B17" t="str">
        <f>B$2&amp;info!E12&amp;B$3&amp;CHAR(39)&amp;B$4&amp;CHAR(39)</f>
        <v>sftp -i p2pstorage.pem ec2-user@172.31.31.235:node/lib &lt;&lt;&lt; $'mput upload/lib/*'</v>
      </c>
    </row>
    <row r="18" spans="2:2" x14ac:dyDescent="0.25">
      <c r="B18" t="str">
        <f>B$2&amp;info!E13&amp;B$3&amp;CHAR(39)&amp;B$4&amp;CHAR(39)</f>
        <v>sftp -i p2pstorage.pem ec2-user@172.31.23.24:node/lib &lt;&lt;&lt; $'mput upload/lib/*'</v>
      </c>
    </row>
    <row r="19" spans="2:2" x14ac:dyDescent="0.25">
      <c r="B19" t="str">
        <f>B$2&amp;info!E14&amp;B$3&amp;CHAR(39)&amp;B$4&amp;CHAR(39)</f>
        <v>sftp -i p2pstorage.pem ec2-user@172.31.28.220:node/lib &lt;&lt;&lt; $'mput upload/lib/*'</v>
      </c>
    </row>
    <row r="20" spans="2:2" x14ac:dyDescent="0.25">
      <c r="B20" t="str">
        <f>B$2&amp;info!E15&amp;B$3&amp;CHAR(39)&amp;B$4&amp;CHAR(39)</f>
        <v>sftp -i p2pstorage.pem ec2-user@172.31.28.38:node/lib &lt;&lt;&lt; $'mput upload/lib/*'</v>
      </c>
    </row>
    <row r="21" spans="2:2" x14ac:dyDescent="0.25">
      <c r="B21" t="str">
        <f>B$2&amp;info!E16&amp;B$3&amp;CHAR(39)&amp;B$4&amp;CHAR(39)</f>
        <v>sftp -i p2pstorage.pem ec2-user@172.31.31.7:node/lib &lt;&lt;&lt; $'mput upload/lib/*'</v>
      </c>
    </row>
    <row r="22" spans="2:2" x14ac:dyDescent="0.25">
      <c r="B22" t="str">
        <f>B$2&amp;info!E17&amp;B$3&amp;CHAR(39)&amp;B$4&amp;CHAR(39)</f>
        <v>sftp -i p2pstorage.pem ec2-user@172.31.19.38:node/lib &lt;&lt;&lt; $'mput upload/lib/*'</v>
      </c>
    </row>
    <row r="23" spans="2:2" x14ac:dyDescent="0.25">
      <c r="B23" t="str">
        <f>B$2&amp;info!E18&amp;B$3&amp;CHAR(39)&amp;B$4&amp;CHAR(39)</f>
        <v>sftp -i p2pstorage.pem ec2-user@172.31.19.160:node/lib &lt;&lt;&lt; $'mput upload/lib/*'</v>
      </c>
    </row>
    <row r="24" spans="2:2" x14ac:dyDescent="0.25">
      <c r="B24" t="str">
        <f>B$2&amp;info!E19&amp;B$3&amp;CHAR(39)&amp;B$4&amp;CHAR(39)</f>
        <v>sftp -i p2pstorage.pem ec2-user@172.31.16.91:node/lib &lt;&lt;&lt; $'mput upload/lib/*'</v>
      </c>
    </row>
    <row r="25" spans="2:2" x14ac:dyDescent="0.25">
      <c r="B25" t="str">
        <f>B$2&amp;info!E20&amp;B$3&amp;CHAR(39)&amp;B$4&amp;CHAR(39)</f>
        <v>sftp -i p2pstorage.pem ec2-user@172.31.22.207:node/lib &lt;&lt;&lt; $'mput upload/lib/*'</v>
      </c>
    </row>
    <row r="26" spans="2:2" x14ac:dyDescent="0.25">
      <c r="B26" t="str">
        <f>B$2&amp;info!E21&amp;B$3&amp;CHAR(39)&amp;B$4&amp;CHAR(39)</f>
        <v>sftp -i p2pstorage.pem ec2-user@172.31.25.39:node/lib &lt;&lt;&lt; $'mput upload/lib/*'</v>
      </c>
    </row>
    <row r="28" spans="2:2" x14ac:dyDescent="0.25">
      <c r="B28" t="str">
        <f>B$2&amp;info!E23&amp;B$3&amp;CHAR(39)&amp;B$4&amp;CHAR(39)</f>
        <v>sftp -i p2pstorage.pem ec2-user@172.31.18.213:node/lib &lt;&lt;&lt; $'mput upload/lib/*'</v>
      </c>
    </row>
    <row r="29" spans="2:2" x14ac:dyDescent="0.25">
      <c r="B29" t="str">
        <f>B$2&amp;info!E24&amp;B$3&amp;CHAR(39)&amp;B$4&amp;CHAR(39)</f>
        <v>sftp -i p2pstorage.pem ec2-user@172.31.23.72:node/lib &lt;&lt;&lt; $'mput upload/lib/*'</v>
      </c>
    </row>
    <row r="30" spans="2:2" x14ac:dyDescent="0.25">
      <c r="B30" t="str">
        <f>B$2&amp;info!E25&amp;B$3&amp;CHAR(39)&amp;B$4&amp;CHAR(39)</f>
        <v>sftp -i p2pstorage.pem ec2-user@172.31.31.24:node/lib &lt;&lt;&lt; $'mput upload/lib/*'</v>
      </c>
    </row>
    <row r="31" spans="2:2" x14ac:dyDescent="0.25">
      <c r="B31" t="str">
        <f>B$2&amp;info!E26&amp;B$3&amp;CHAR(39)&amp;B$4&amp;CHAR(39)</f>
        <v>sftp -i p2pstorage.pem ec2-user@172.31.27.58:node/lib &lt;&lt;&lt; $'mput upload/lib/*'</v>
      </c>
    </row>
    <row r="32" spans="2:2" x14ac:dyDescent="0.25">
      <c r="B32" t="str">
        <f>B$2&amp;info!E27&amp;B$3&amp;CHAR(39)&amp;B$4&amp;CHAR(39)</f>
        <v>sftp -i p2pstorage.pem ec2-user@172.31.17.169:node/lib &lt;&lt;&lt; $'mput upload/lib/*'</v>
      </c>
    </row>
    <row r="33" spans="2:2" x14ac:dyDescent="0.25">
      <c r="B33" t="str">
        <f>B$2&amp;info!E28&amp;B$3&amp;CHAR(39)&amp;B$4&amp;CHAR(39)</f>
        <v>sftp -i p2pstorage.pem ec2-user@172.31.28.12:node/lib &lt;&lt;&lt; $'mput upload/lib/*'</v>
      </c>
    </row>
    <row r="34" spans="2:2" x14ac:dyDescent="0.25">
      <c r="B34" t="str">
        <f>B$2&amp;info!E29&amp;B$3&amp;CHAR(39)&amp;B$4&amp;CHAR(39)</f>
        <v>sftp -i p2pstorage.pem ec2-user@172.31.20.85:node/lib &lt;&lt;&lt; $'mput upload/lib/*'</v>
      </c>
    </row>
    <row r="35" spans="2:2" x14ac:dyDescent="0.25">
      <c r="B35" t="str">
        <f>B$2&amp;info!E30&amp;B$3&amp;CHAR(39)&amp;B$4&amp;CHAR(39)</f>
        <v>sftp -i p2pstorage.pem ec2-user@172.31.24.7:node/lib &lt;&lt;&lt; $'mput upload/lib/*'</v>
      </c>
    </row>
    <row r="36" spans="2:2" x14ac:dyDescent="0.25">
      <c r="B36" t="str">
        <f>B$2&amp;info!E31&amp;B$3&amp;CHAR(39)&amp;B$4&amp;CHAR(39)</f>
        <v>sftp -i p2pstorage.pem ec2-user@172.31.29.177:node/lib &lt;&lt;&lt; $'mput upload/lib/*'</v>
      </c>
    </row>
    <row r="37" spans="2:2" x14ac:dyDescent="0.25">
      <c r="B37" t="str">
        <f>B$2&amp;info!E32&amp;B$3&amp;CHAR(39)&amp;B$4&amp;CHAR(39)</f>
        <v>sftp -i p2pstorage.pem ec2-user@172.31.18.111:node/lib &lt;&lt;&lt; $'mput upload/lib/*'</v>
      </c>
    </row>
    <row r="38" spans="2:2" x14ac:dyDescent="0.25">
      <c r="B38" t="str">
        <f>B$2&amp;info!E33&amp;B$3&amp;CHAR(39)&amp;B$4&amp;CHAR(39)</f>
        <v>sftp -i p2pstorage.pem ec2-user@172.31.18.88:node/lib &lt;&lt;&lt; $'mput upload/lib/*'</v>
      </c>
    </row>
    <row r="39" spans="2:2" x14ac:dyDescent="0.25">
      <c r="B39" t="str">
        <f>B$2&amp;info!E34&amp;B$3&amp;CHAR(39)&amp;B$4&amp;CHAR(39)</f>
        <v>sftp -i p2pstorage.pem ec2-user@172.31.27.94:node/lib &lt;&lt;&lt; $'mput upload/lib/*'</v>
      </c>
    </row>
    <row r="40" spans="2:2" x14ac:dyDescent="0.25">
      <c r="B40" t="str">
        <f>B$2&amp;info!E35&amp;B$3&amp;CHAR(39)&amp;B$4&amp;CHAR(39)</f>
        <v>sftp -i p2pstorage.pem ec2-user@172.31.28.207:node/lib &lt;&lt;&lt; $'mput upload/lib/*'</v>
      </c>
    </row>
    <row r="41" spans="2:2" x14ac:dyDescent="0.25">
      <c r="B41" t="str">
        <f>B$2&amp;info!E36&amp;B$3&amp;CHAR(39)&amp;B$4&amp;CHAR(39)</f>
        <v>sftp -i p2pstorage.pem ec2-user@172.31.28.32:node/lib &lt;&lt;&lt; $'mput upload/lib/*'</v>
      </c>
    </row>
    <row r="42" spans="2:2" x14ac:dyDescent="0.25">
      <c r="B42" t="str">
        <f>B$2&amp;info!E37&amp;B$3&amp;CHAR(39)&amp;B$4&amp;CHAR(39)</f>
        <v>sftp -i p2pstorage.pem ec2-user@172.31.22.108:node/lib &lt;&lt;&lt; $'mput upload/lib/*'</v>
      </c>
    </row>
    <row r="43" spans="2:2" x14ac:dyDescent="0.25">
      <c r="B43" t="str">
        <f>B$2&amp;info!E38&amp;B$3&amp;CHAR(39)&amp;B$4&amp;CHAR(39)</f>
        <v>sftp -i p2pstorage.pem ec2-user@172.31.19.189:node/lib &lt;&lt;&lt; $'mput upload/lib/*'</v>
      </c>
    </row>
    <row r="44" spans="2:2" x14ac:dyDescent="0.25">
      <c r="B44" t="str">
        <f>B$2&amp;info!E39&amp;B$3&amp;CHAR(39)&amp;B$4&amp;CHAR(39)</f>
        <v>sftp -i p2pstorage.pem ec2-user@172.31.16.175:node/lib &lt;&lt;&lt; $'mput upload/lib/*'</v>
      </c>
    </row>
    <row r="45" spans="2:2" x14ac:dyDescent="0.25">
      <c r="B45" t="str">
        <f>B$2&amp;info!E40&amp;B$3&amp;CHAR(39)&amp;B$4&amp;CHAR(39)</f>
        <v>sftp -i p2pstorage.pem ec2-user@172.31.26.82:node/lib &lt;&lt;&lt; $'mput upload/lib/*'</v>
      </c>
    </row>
    <row r="46" spans="2:2" x14ac:dyDescent="0.25">
      <c r="B46" t="str">
        <f>B$2&amp;info!E41&amp;B$3&amp;CHAR(39)&amp;B$4&amp;CHAR(39)</f>
        <v>sftp -i p2pstorage.pem ec2-user@172.31.29.98:node/lib &lt;&lt;&lt; $'mput upload/lib/*'</v>
      </c>
    </row>
    <row r="47" spans="2:2" x14ac:dyDescent="0.25">
      <c r="B47" t="str">
        <f>B$2&amp;info!E42&amp;B$3&amp;CHAR(39)&amp;B$4&amp;CHAR(39)</f>
        <v>sftp -i p2pstorage.pem ec2-user@172.31.23.103:node/lib &lt;&lt;&lt; $'mput upload/lib/*'</v>
      </c>
    </row>
    <row r="49" spans="2:2" x14ac:dyDescent="0.25">
      <c r="B49" t="str">
        <f>B$2&amp;info!E44&amp;B$3&amp;CHAR(39)&amp;B$4&amp;CHAR(39)</f>
        <v>sftp -i p2pstorage.pem ec2-user@172.31.29.34:node/lib &lt;&lt;&lt; $'mput upload/lib/*'</v>
      </c>
    </row>
    <row r="50" spans="2:2" x14ac:dyDescent="0.25">
      <c r="B50" t="str">
        <f>B$2&amp;info!E45&amp;B$3&amp;CHAR(39)&amp;B$4&amp;CHAR(39)</f>
        <v>sftp -i p2pstorage.pem ec2-user@172.31.31.208:node/lib &lt;&lt;&lt; $'mput upload/lib/*'</v>
      </c>
    </row>
    <row r="51" spans="2:2" x14ac:dyDescent="0.25">
      <c r="B51" t="str">
        <f>B$2&amp;info!E46&amp;B$3&amp;CHAR(39)&amp;B$4&amp;CHAR(39)</f>
        <v>sftp -i p2pstorage.pem ec2-user@172.31.19.51:node/lib &lt;&lt;&lt; $'mput upload/lib/*'</v>
      </c>
    </row>
    <row r="52" spans="2:2" x14ac:dyDescent="0.25">
      <c r="B52" t="str">
        <f>B$2&amp;info!E47&amp;B$3&amp;CHAR(39)&amp;B$4&amp;CHAR(39)</f>
        <v>sftp -i p2pstorage.pem ec2-user@172.31.31.54:node/lib &lt;&lt;&lt; $'mput upload/lib/*'</v>
      </c>
    </row>
    <row r="53" spans="2:2" x14ac:dyDescent="0.25">
      <c r="B53" t="str">
        <f>B$2&amp;info!E48&amp;B$3&amp;CHAR(39)&amp;B$4&amp;CHAR(39)</f>
        <v>sftp -i p2pstorage.pem ec2-user@172.31.26.164:node/lib &lt;&lt;&lt; $'mput upload/lib/*'</v>
      </c>
    </row>
    <row r="54" spans="2:2" x14ac:dyDescent="0.25">
      <c r="B54" t="str">
        <f>B$2&amp;info!E49&amp;B$3&amp;CHAR(39)&amp;B$4&amp;CHAR(39)</f>
        <v>sftp -i p2pstorage.pem ec2-user@172.31.25.233:node/lib &lt;&lt;&lt; $'mput upload/lib/*'</v>
      </c>
    </row>
    <row r="55" spans="2:2" x14ac:dyDescent="0.25">
      <c r="B55" t="str">
        <f>B$2&amp;info!E50&amp;B$3&amp;CHAR(39)&amp;B$4&amp;CHAR(39)</f>
        <v>sftp -i p2pstorage.pem ec2-user@172.31.22.203:node/lib &lt;&lt;&lt; $'mput upload/lib/*'</v>
      </c>
    </row>
    <row r="56" spans="2:2" x14ac:dyDescent="0.25">
      <c r="B56" t="str">
        <f>B$2&amp;info!E51&amp;B$3&amp;CHAR(39)&amp;B$4&amp;CHAR(39)</f>
        <v>sftp -i p2pstorage.pem ec2-user@172.31.19.225:node/lib &lt;&lt;&lt; $'mput upload/lib/*'</v>
      </c>
    </row>
    <row r="57" spans="2:2" x14ac:dyDescent="0.25">
      <c r="B57" t="str">
        <f>B$2&amp;info!E52&amp;B$3&amp;CHAR(39)&amp;B$4&amp;CHAR(39)</f>
        <v>sftp -i p2pstorage.pem ec2-user@172.31.26.244:node/lib &lt;&lt;&lt; $'mput upload/lib/*'</v>
      </c>
    </row>
    <row r="58" spans="2:2" x14ac:dyDescent="0.25">
      <c r="B58" t="str">
        <f>B$2&amp;info!E53&amp;B$3&amp;CHAR(39)&amp;B$4&amp;CHAR(39)</f>
        <v>sftp -i p2pstorage.pem ec2-user@172.31.30.61:node/lib &lt;&lt;&lt; $'mput upload/lib/*'</v>
      </c>
    </row>
    <row r="59" spans="2:2" x14ac:dyDescent="0.25">
      <c r="B59" t="str">
        <f>B$2&amp;info!E54&amp;B$3&amp;CHAR(39)&amp;B$4&amp;CHAR(39)</f>
        <v>sftp -i p2pstorage.pem ec2-user@172.31.29.11:node/lib &lt;&lt;&lt; $'mput upload/lib/*'</v>
      </c>
    </row>
    <row r="60" spans="2:2" x14ac:dyDescent="0.25">
      <c r="B60" t="str">
        <f>B$2&amp;info!E55&amp;B$3&amp;CHAR(39)&amp;B$4&amp;CHAR(39)</f>
        <v>sftp -i p2pstorage.pem ec2-user@172.31.17.199:node/lib &lt;&lt;&lt; $'mput upload/lib/*'</v>
      </c>
    </row>
    <row r="61" spans="2:2" x14ac:dyDescent="0.25">
      <c r="B61" t="str">
        <f>B$2&amp;info!E56&amp;B$3&amp;CHAR(39)&amp;B$4&amp;CHAR(39)</f>
        <v>sftp -i p2pstorage.pem ec2-user@172.31.26.151:node/lib &lt;&lt;&lt; $'mput upload/lib/*'</v>
      </c>
    </row>
    <row r="62" spans="2:2" x14ac:dyDescent="0.25">
      <c r="B62" t="str">
        <f>B$2&amp;info!E57&amp;B$3&amp;CHAR(39)&amp;B$4&amp;CHAR(39)</f>
        <v>sftp -i p2pstorage.pem ec2-user@172.31.25.77:node/lib &lt;&lt;&lt; $'mput upload/lib/*'</v>
      </c>
    </row>
    <row r="63" spans="2:2" x14ac:dyDescent="0.25">
      <c r="B63" t="str">
        <f>B$2&amp;info!E58&amp;B$3&amp;CHAR(39)&amp;B$4&amp;CHAR(39)</f>
        <v>sftp -i p2pstorage.pem ec2-user@172.31.27.166:node/lib &lt;&lt;&lt; $'mput upload/lib/*'</v>
      </c>
    </row>
    <row r="64" spans="2:2" x14ac:dyDescent="0.25">
      <c r="B64" t="str">
        <f>B$2&amp;info!E59&amp;B$3&amp;CHAR(39)&amp;B$4&amp;CHAR(39)</f>
        <v>sftp -i p2pstorage.pem ec2-user@172.31.17.98:node/lib &lt;&lt;&lt; $'mput upload/lib/*'</v>
      </c>
    </row>
    <row r="65" spans="2:2" x14ac:dyDescent="0.25">
      <c r="B65" t="str">
        <f>B$2&amp;info!E60&amp;B$3&amp;CHAR(39)&amp;B$4&amp;CHAR(39)</f>
        <v>sftp -i p2pstorage.pem ec2-user@172.31.27.25:node/lib &lt;&lt;&lt; $'mput upload/lib/*'</v>
      </c>
    </row>
    <row r="66" spans="2:2" x14ac:dyDescent="0.25">
      <c r="B66" t="str">
        <f>B$2&amp;info!E61&amp;B$3&amp;CHAR(39)&amp;B$4&amp;CHAR(39)</f>
        <v>sftp -i p2pstorage.pem ec2-user@172.31.24.96:node/lib &lt;&lt;&lt; $'mput upload/lib/*'</v>
      </c>
    </row>
    <row r="67" spans="2:2" x14ac:dyDescent="0.25">
      <c r="B67" t="str">
        <f>B$2&amp;info!E62&amp;B$3&amp;CHAR(39)&amp;B$4&amp;CHAR(39)</f>
        <v>sftp -i p2pstorage.pem ec2-user@172.31.22.197:node/lib &lt;&lt;&lt; $'mput upload/lib/*'</v>
      </c>
    </row>
    <row r="68" spans="2:2" x14ac:dyDescent="0.25">
      <c r="B68" t="str">
        <f>B$2&amp;info!E63&amp;B$3&amp;CHAR(39)&amp;B$4&amp;CHAR(39)</f>
        <v>sftp -i p2pstorage.pem ec2-user@172.31.20.108:node/lib &lt;&lt;&lt; $'mput upload/lib/*'</v>
      </c>
    </row>
    <row r="70" spans="2:2" x14ac:dyDescent="0.25">
      <c r="B70" t="str">
        <f>B$2&amp;info!E65&amp;B$3&amp;CHAR(39)&amp;B$4&amp;CHAR(39)</f>
        <v>sftp -i p2pstorage.pem ec2-user@172.31.27.188:node/lib &lt;&lt;&lt; $'mput upload/lib/*'</v>
      </c>
    </row>
    <row r="71" spans="2:2" x14ac:dyDescent="0.25">
      <c r="B71" t="str">
        <f>B$2&amp;info!E66&amp;B$3&amp;CHAR(39)&amp;B$4&amp;CHAR(39)</f>
        <v>sftp -i p2pstorage.pem ec2-user@172.31.26.227:node/lib &lt;&lt;&lt; $'mput upload/lib/*'</v>
      </c>
    </row>
    <row r="72" spans="2:2" x14ac:dyDescent="0.25">
      <c r="B72" t="str">
        <f>B$2&amp;info!E67&amp;B$3&amp;CHAR(39)&amp;B$4&amp;CHAR(39)</f>
        <v>sftp -i p2pstorage.pem ec2-user@172.31.19.74:node/lib &lt;&lt;&lt; $'mput upload/lib/*'</v>
      </c>
    </row>
    <row r="73" spans="2:2" x14ac:dyDescent="0.25">
      <c r="B73" t="str">
        <f>B$2&amp;info!E68&amp;B$3&amp;CHAR(39)&amp;B$4&amp;CHAR(39)</f>
        <v>sftp -i p2pstorage.pem ec2-user@172.31.18.89:node/lib &lt;&lt;&lt; $'mput upload/lib/*'</v>
      </c>
    </row>
    <row r="74" spans="2:2" x14ac:dyDescent="0.25">
      <c r="B74" t="str">
        <f>B$2&amp;info!E69&amp;B$3&amp;CHAR(39)&amp;B$4&amp;CHAR(39)</f>
        <v>sftp -i p2pstorage.pem ec2-user@172.31.22.198:node/lib &lt;&lt;&lt; $'mput upload/lib/*'</v>
      </c>
    </row>
    <row r="75" spans="2:2" x14ac:dyDescent="0.25">
      <c r="B75" t="str">
        <f>B$2&amp;info!E70&amp;B$3&amp;CHAR(39)&amp;B$4&amp;CHAR(39)</f>
        <v>sftp -i p2pstorage.pem ec2-user@172.31.20.6:node/lib &lt;&lt;&lt; $'mput upload/lib/*'</v>
      </c>
    </row>
    <row r="76" spans="2:2" x14ac:dyDescent="0.25">
      <c r="B76" t="str">
        <f>B$2&amp;info!E71&amp;B$3&amp;CHAR(39)&amp;B$4&amp;CHAR(39)</f>
        <v>sftp -i p2pstorage.pem ec2-user@172.31.24.234:node/lib &lt;&lt;&lt; $'mput upload/lib/*'</v>
      </c>
    </row>
    <row r="77" spans="2:2" x14ac:dyDescent="0.25">
      <c r="B77" t="str">
        <f>B$2&amp;info!E72&amp;B$3&amp;CHAR(39)&amp;B$4&amp;CHAR(39)</f>
        <v>sftp -i p2pstorage.pem ec2-user@172.31.16.123:node/lib &lt;&lt;&lt; $'mput upload/lib/*'</v>
      </c>
    </row>
    <row r="78" spans="2:2" x14ac:dyDescent="0.25">
      <c r="B78" t="str">
        <f>B$2&amp;info!E73&amp;B$3&amp;CHAR(39)&amp;B$4&amp;CHAR(39)</f>
        <v>sftp -i p2pstorage.pem ec2-user@172.31.22.139:node/lib &lt;&lt;&lt; $'mput upload/lib/*'</v>
      </c>
    </row>
    <row r="79" spans="2:2" x14ac:dyDescent="0.25">
      <c r="B79" t="str">
        <f>B$2&amp;info!E74&amp;B$3&amp;CHAR(39)&amp;B$4&amp;CHAR(39)</f>
        <v>sftp -i p2pstorage.pem ec2-user@172.31.29.152:node/lib &lt;&lt;&lt; $'mput upload/lib/*'</v>
      </c>
    </row>
    <row r="80" spans="2:2" x14ac:dyDescent="0.25">
      <c r="B80" t="str">
        <f>B$2&amp;info!E75&amp;B$3&amp;CHAR(39)&amp;B$4&amp;CHAR(39)</f>
        <v>sftp -i p2pstorage.pem ec2-user@172.31.28.114:node/lib &lt;&lt;&lt; $'mput upload/lib/*'</v>
      </c>
    </row>
    <row r="81" spans="2:2" x14ac:dyDescent="0.25">
      <c r="B81" t="str">
        <f>B$2&amp;info!E76&amp;B$3&amp;CHAR(39)&amp;B$4&amp;CHAR(39)</f>
        <v>sftp -i p2pstorage.pem ec2-user@172.31.26.46:node/lib &lt;&lt;&lt; $'mput upload/lib/*'</v>
      </c>
    </row>
    <row r="82" spans="2:2" x14ac:dyDescent="0.25">
      <c r="B82" t="str">
        <f>B$2&amp;info!E77&amp;B$3&amp;CHAR(39)&amp;B$4&amp;CHAR(39)</f>
        <v>sftp -i p2pstorage.pem ec2-user@172.31.17.17:node/lib &lt;&lt;&lt; $'mput upload/lib/*'</v>
      </c>
    </row>
    <row r="83" spans="2:2" x14ac:dyDescent="0.25">
      <c r="B83" t="str">
        <f>B$2&amp;info!E78&amp;B$3&amp;CHAR(39)&amp;B$4&amp;CHAR(39)</f>
        <v>sftp -i p2pstorage.pem ec2-user@172.31.24.201:node/lib &lt;&lt;&lt; $'mput upload/lib/*'</v>
      </c>
    </row>
    <row r="84" spans="2:2" x14ac:dyDescent="0.25">
      <c r="B84" t="str">
        <f>B$2&amp;info!E79&amp;B$3&amp;CHAR(39)&amp;B$4&amp;CHAR(39)</f>
        <v>sftp -i p2pstorage.pem ec2-user@172.31.19.18:node/lib &lt;&lt;&lt; $'mput upload/lib/*'</v>
      </c>
    </row>
    <row r="85" spans="2:2" x14ac:dyDescent="0.25">
      <c r="B85" t="str">
        <f>B$2&amp;info!E80&amp;B$3&amp;CHAR(39)&amp;B$4&amp;CHAR(39)</f>
        <v>sftp -i p2pstorage.pem ec2-user@172.31.21.225:node/lib &lt;&lt;&lt; $'mput upload/lib/*'</v>
      </c>
    </row>
    <row r="86" spans="2:2" x14ac:dyDescent="0.25">
      <c r="B86" t="str">
        <f>B$2&amp;info!E81&amp;B$3&amp;CHAR(39)&amp;B$4&amp;CHAR(39)</f>
        <v>sftp -i p2pstorage.pem ec2-user@172.31.16.19:node/lib &lt;&lt;&lt; $'mput upload/lib/*'</v>
      </c>
    </row>
    <row r="87" spans="2:2" x14ac:dyDescent="0.25">
      <c r="B87" t="str">
        <f>B$2&amp;info!E82&amp;B$3&amp;CHAR(39)&amp;B$4&amp;CHAR(39)</f>
        <v>sftp -i p2pstorage.pem ec2-user@172.31.18.160:node/lib &lt;&lt;&lt; $'mput upload/lib/*'</v>
      </c>
    </row>
    <row r="88" spans="2:2" x14ac:dyDescent="0.25">
      <c r="B88" t="str">
        <f>B$2&amp;info!E83&amp;B$3&amp;CHAR(39)&amp;B$4&amp;CHAR(39)</f>
        <v>sftp -i p2pstorage.pem ec2-user@172.31.31.237:node/lib &lt;&lt;&lt; $'mput upload/lib/*'</v>
      </c>
    </row>
    <row r="89" spans="2:2" x14ac:dyDescent="0.25">
      <c r="B89" t="str">
        <f>B$2&amp;info!E84&amp;B$3&amp;CHAR(39)&amp;B$4&amp;CHAR(39)</f>
        <v>sftp -i p2pstorage.pem ec2-user@172.31.16.236:node/lib &lt;&lt;&lt; $'mput upload/lib/*'</v>
      </c>
    </row>
    <row r="91" spans="2:2" x14ac:dyDescent="0.25">
      <c r="B91" t="str">
        <f>B$2&amp;info!E86&amp;B$3&amp;CHAR(39)&amp;B$4&amp;CHAR(39)</f>
        <v>sftp -i p2pstorage.pem ec2-user@172.31.29.142:node/lib &lt;&lt;&lt; $'mput upload/lib/*'</v>
      </c>
    </row>
    <row r="92" spans="2:2" x14ac:dyDescent="0.25">
      <c r="B92" t="str">
        <f>B$2&amp;info!E87&amp;B$3&amp;CHAR(39)&amp;B$4&amp;CHAR(39)</f>
        <v>sftp -i p2pstorage.pem ec2-user@172.31.20.77:node/lib &lt;&lt;&lt; $'mput upload/lib/*'</v>
      </c>
    </row>
    <row r="93" spans="2:2" x14ac:dyDescent="0.25">
      <c r="B93" t="str">
        <f>B$2&amp;info!E88&amp;B$3&amp;CHAR(39)&amp;B$4&amp;CHAR(39)</f>
        <v>sftp -i p2pstorage.pem ec2-user@172.31.20.25:node/lib &lt;&lt;&lt; $'mput upload/lib/*'</v>
      </c>
    </row>
    <row r="94" spans="2:2" x14ac:dyDescent="0.25">
      <c r="B94" t="str">
        <f>B$2&amp;info!E89&amp;B$3&amp;CHAR(39)&amp;B$4&amp;CHAR(39)</f>
        <v>sftp -i p2pstorage.pem ec2-user@172.31.19.239:node/lib &lt;&lt;&lt; $'mput upload/lib/*'</v>
      </c>
    </row>
    <row r="95" spans="2:2" x14ac:dyDescent="0.25">
      <c r="B95" t="str">
        <f>B$2&amp;info!E90&amp;B$3&amp;CHAR(39)&amp;B$4&amp;CHAR(39)</f>
        <v>sftp -i p2pstorage.pem ec2-user@172.31.23.251:node/lib &lt;&lt;&lt; $'mput upload/lib/*'</v>
      </c>
    </row>
    <row r="96" spans="2:2" x14ac:dyDescent="0.25">
      <c r="B96" t="str">
        <f>B$2&amp;info!E91&amp;B$3&amp;CHAR(39)&amp;B$4&amp;CHAR(39)</f>
        <v>sftp -i p2pstorage.pem ec2-user@172.31.16.43:node/lib &lt;&lt;&lt; $'mput upload/lib/*'</v>
      </c>
    </row>
    <row r="97" spans="2:2" x14ac:dyDescent="0.25">
      <c r="B97" t="str">
        <f>B$2&amp;info!E92&amp;B$3&amp;CHAR(39)&amp;B$4&amp;CHAR(39)</f>
        <v>sftp -i p2pstorage.pem ec2-user@172.31.21.110:node/lib &lt;&lt;&lt; $'mput upload/lib/*'</v>
      </c>
    </row>
    <row r="98" spans="2:2" x14ac:dyDescent="0.25">
      <c r="B98" t="str">
        <f>B$2&amp;info!E93&amp;B$3&amp;CHAR(39)&amp;B$4&amp;CHAR(39)</f>
        <v>sftp -i p2pstorage.pem ec2-user@172.31.24.55:node/lib &lt;&lt;&lt; $'mput upload/lib/*'</v>
      </c>
    </row>
    <row r="99" spans="2:2" x14ac:dyDescent="0.25">
      <c r="B99" t="str">
        <f>B$2&amp;info!E94&amp;B$3&amp;CHAR(39)&amp;B$4&amp;CHAR(39)</f>
        <v>sftp -i p2pstorage.pem ec2-user@172.31.31.148:node/lib &lt;&lt;&lt; $'mput upload/lib/*'</v>
      </c>
    </row>
    <row r="100" spans="2:2" x14ac:dyDescent="0.25">
      <c r="B100" t="str">
        <f>B$2&amp;info!E95&amp;B$3&amp;CHAR(39)&amp;B$4&amp;CHAR(39)</f>
        <v>sftp -i p2pstorage.pem ec2-user@172.31.25.125:node/lib &lt;&lt;&lt; $'mput upload/lib/*'</v>
      </c>
    </row>
    <row r="101" spans="2:2" x14ac:dyDescent="0.25">
      <c r="B101" t="str">
        <f>B$2&amp;info!E96&amp;B$3&amp;CHAR(39)&amp;B$4&amp;CHAR(39)</f>
        <v>sftp -i p2pstorage.pem ec2-user@172.31.22.253:node/lib &lt;&lt;&lt; $'mput upload/lib/*'</v>
      </c>
    </row>
    <row r="102" spans="2:2" x14ac:dyDescent="0.25">
      <c r="B102" t="str">
        <f>B$2&amp;info!E97&amp;B$3&amp;CHAR(39)&amp;B$4&amp;CHAR(39)</f>
        <v>sftp -i p2pstorage.pem ec2-user@172.31.20.255:node/lib &lt;&lt;&lt; $'mput upload/lib/*'</v>
      </c>
    </row>
    <row r="103" spans="2:2" x14ac:dyDescent="0.25">
      <c r="B103" t="str">
        <f>B$2&amp;info!E98&amp;B$3&amp;CHAR(39)&amp;B$4&amp;CHAR(39)</f>
        <v>sftp -i p2pstorage.pem ec2-user@172.31.18.234:node/lib &lt;&lt;&lt; $'mput upload/lib/*'</v>
      </c>
    </row>
    <row r="104" spans="2:2" x14ac:dyDescent="0.25">
      <c r="B104" t="str">
        <f>B$2&amp;info!E99&amp;B$3&amp;CHAR(39)&amp;B$4&amp;CHAR(39)</f>
        <v>sftp -i p2pstorage.pem ec2-user@172.31.29.186:node/lib &lt;&lt;&lt; $'mput upload/lib/*'</v>
      </c>
    </row>
    <row r="105" spans="2:2" x14ac:dyDescent="0.25">
      <c r="B105" t="str">
        <f>B$2&amp;info!E100&amp;B$3&amp;CHAR(39)&amp;B$4&amp;CHAR(39)</f>
        <v>sftp -i p2pstorage.pem ec2-user@172.31.31.15:node/lib &lt;&lt;&lt; $'mput upload/lib/*'</v>
      </c>
    </row>
    <row r="106" spans="2:2" x14ac:dyDescent="0.25">
      <c r="B106" t="str">
        <f>B$2&amp;info!E101&amp;B$3&amp;CHAR(39)&amp;B$4&amp;CHAR(39)</f>
        <v>sftp -i p2pstorage.pem ec2-user@172.31.25.144:node/lib &lt;&lt;&lt; $'mput upload/lib/*'</v>
      </c>
    </row>
    <row r="107" spans="2:2" x14ac:dyDescent="0.25">
      <c r="B107" t="str">
        <f>B$2&amp;info!E102&amp;B$3&amp;CHAR(39)&amp;B$4&amp;CHAR(39)</f>
        <v>sftp -i p2pstorage.pem ec2-user@172.31.20.104:node/lib &lt;&lt;&lt; $'mput upload/lib/*'</v>
      </c>
    </row>
    <row r="108" spans="2:2" x14ac:dyDescent="0.25">
      <c r="B108" t="str">
        <f>B$2&amp;info!E103&amp;B$3&amp;CHAR(39)&amp;B$4&amp;CHAR(39)</f>
        <v>sftp -i p2pstorage.pem ec2-user@172.31.25.100:node/lib &lt;&lt;&lt; $'mput upload/lib/*'</v>
      </c>
    </row>
    <row r="109" spans="2:2" x14ac:dyDescent="0.25">
      <c r="B109" t="str">
        <f>B$2&amp;info!E104&amp;B$3&amp;CHAR(39)&amp;B$4&amp;CHAR(39)</f>
        <v>sftp -i p2pstorage.pem ec2-user@172.31.25.167:node/lib &lt;&lt;&lt; $'mput upload/lib/*'</v>
      </c>
    </row>
    <row r="110" spans="2:2" x14ac:dyDescent="0.25">
      <c r="B110" t="str">
        <f>B$2&amp;info!E105&amp;B$3&amp;CHAR(39)&amp;B$4&amp;CHAR(39)</f>
        <v>sftp -i p2pstorage.pem ec2-user@172.31.28.55:node/lib &lt;&lt;&lt; $'mput upload/lib/*'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FEB1-1263-4DD8-8CE1-38E7E3E88C55}">
  <dimension ref="B2:H110"/>
  <sheetViews>
    <sheetView topLeftCell="A79" workbookViewId="0">
      <selection activeCell="B7" sqref="B7:B110"/>
    </sheetView>
  </sheetViews>
  <sheetFormatPr defaultRowHeight="15" x14ac:dyDescent="0.25"/>
  <sheetData>
    <row r="2" spans="2:8" x14ac:dyDescent="0.25">
      <c r="B2" t="s">
        <v>92</v>
      </c>
      <c r="H2" t="s">
        <v>91</v>
      </c>
    </row>
    <row r="3" spans="2:8" x14ac:dyDescent="0.25">
      <c r="B3" t="s">
        <v>150</v>
      </c>
    </row>
    <row r="4" spans="2:8" x14ac:dyDescent="0.25">
      <c r="B4" t="s">
        <v>149</v>
      </c>
    </row>
    <row r="7" spans="2:8" x14ac:dyDescent="0.25">
      <c r="B7" t="str">
        <f>B$2&amp;info!E2&amp;B$3&amp;CHAR(39)&amp;B$4&amp;CHAR(39)</f>
        <v>sftp -i p2pstorage.pem ec2-user@172.31.16.10:node &lt;&lt;&lt; $'mput upload/*'</v>
      </c>
    </row>
    <row r="8" spans="2:8" x14ac:dyDescent="0.25">
      <c r="B8" t="str">
        <f>B$2&amp;info!E3&amp;B$3&amp;CHAR(39)&amp;B$4&amp;CHAR(39)</f>
        <v>sftp -i p2pstorage.pem ec2-user@172.31.27.28:node &lt;&lt;&lt; $'mput upload/*'</v>
      </c>
    </row>
    <row r="9" spans="2:8" x14ac:dyDescent="0.25">
      <c r="B9" t="str">
        <f>B$2&amp;info!E4&amp;B$3&amp;CHAR(39)&amp;B$4&amp;CHAR(39)</f>
        <v>sftp -i p2pstorage.pem ec2-user@172.31.24.48:node &lt;&lt;&lt; $'mput upload/*'</v>
      </c>
    </row>
    <row r="10" spans="2:8" x14ac:dyDescent="0.25">
      <c r="B10" t="str">
        <f>B$2&amp;info!E5&amp;B$3&amp;CHAR(39)&amp;B$4&amp;CHAR(39)</f>
        <v>sftp -i p2pstorage.pem ec2-user@172.31.19.20:node &lt;&lt;&lt; $'mput upload/*'</v>
      </c>
    </row>
    <row r="11" spans="2:8" x14ac:dyDescent="0.25">
      <c r="B11" t="str">
        <f>B$2&amp;info!E6&amp;B$3&amp;CHAR(39)&amp;B$4&amp;CHAR(39)</f>
        <v>sftp -i p2pstorage.pem ec2-user@172.31.21.44:node &lt;&lt;&lt; $'mput upload/*'</v>
      </c>
    </row>
    <row r="12" spans="2:8" x14ac:dyDescent="0.25">
      <c r="B12" t="str">
        <f>B$2&amp;info!E7&amp;B$3&amp;CHAR(39)&amp;B$4&amp;CHAR(39)</f>
        <v>sftp -i p2pstorage.pem ec2-user@172.31.42.48:node &lt;&lt;&lt; $'mput upload/*'</v>
      </c>
    </row>
    <row r="13" spans="2:8" x14ac:dyDescent="0.25">
      <c r="B13" t="str">
        <f>B$2&amp;info!E8&amp;B$3&amp;CHAR(39)&amp;B$4&amp;CHAR(39)</f>
        <v>sftp -i p2pstorage.pem ec2-user@172.31.6.148:node &lt;&lt;&lt; $'mput upload/*'</v>
      </c>
    </row>
    <row r="14" spans="2:8" x14ac:dyDescent="0.25">
      <c r="B14" t="str">
        <f>B$2&amp;info!E9&amp;B$3&amp;CHAR(39)&amp;B$4&amp;CHAR(39)</f>
        <v>sftp -i p2pstorage.pem ec2-user@172.31.21.20:node &lt;&lt;&lt; $'mput upload/*'</v>
      </c>
    </row>
    <row r="15" spans="2:8" x14ac:dyDescent="0.25">
      <c r="B15" t="str">
        <f>B$2&amp;info!E10&amp;B$3&amp;CHAR(39)&amp;B$4&amp;CHAR(39)</f>
        <v>sftp -i p2pstorage.pem ec2-user@172.31.29.51:node &lt;&lt;&lt; $'mput upload/*'</v>
      </c>
    </row>
    <row r="16" spans="2:8" x14ac:dyDescent="0.25">
      <c r="B16" t="str">
        <f>B$2&amp;info!E11&amp;B$3&amp;CHAR(39)&amp;B$4&amp;CHAR(39)</f>
        <v>sftp -i p2pstorage.pem ec2-user@172.31.27.113:node &lt;&lt;&lt; $'mput upload/*'</v>
      </c>
    </row>
    <row r="17" spans="2:2" x14ac:dyDescent="0.25">
      <c r="B17" t="str">
        <f>B$2&amp;info!E12&amp;B$3&amp;CHAR(39)&amp;B$4&amp;CHAR(39)</f>
        <v>sftp -i p2pstorage.pem ec2-user@172.31.31.235:node &lt;&lt;&lt; $'mput upload/*'</v>
      </c>
    </row>
    <row r="18" spans="2:2" x14ac:dyDescent="0.25">
      <c r="B18" t="str">
        <f>B$2&amp;info!E13&amp;B$3&amp;CHAR(39)&amp;B$4&amp;CHAR(39)</f>
        <v>sftp -i p2pstorage.pem ec2-user@172.31.23.24:node &lt;&lt;&lt; $'mput upload/*'</v>
      </c>
    </row>
    <row r="19" spans="2:2" x14ac:dyDescent="0.25">
      <c r="B19" t="str">
        <f>B$2&amp;info!E14&amp;B$3&amp;CHAR(39)&amp;B$4&amp;CHAR(39)</f>
        <v>sftp -i p2pstorage.pem ec2-user@172.31.28.220:node &lt;&lt;&lt; $'mput upload/*'</v>
      </c>
    </row>
    <row r="20" spans="2:2" x14ac:dyDescent="0.25">
      <c r="B20" t="str">
        <f>B$2&amp;info!E15&amp;B$3&amp;CHAR(39)&amp;B$4&amp;CHAR(39)</f>
        <v>sftp -i p2pstorage.pem ec2-user@172.31.28.38:node &lt;&lt;&lt; $'mput upload/*'</v>
      </c>
    </row>
    <row r="21" spans="2:2" x14ac:dyDescent="0.25">
      <c r="B21" t="str">
        <f>B$2&amp;info!E16&amp;B$3&amp;CHAR(39)&amp;B$4&amp;CHAR(39)</f>
        <v>sftp -i p2pstorage.pem ec2-user@172.31.31.7:node &lt;&lt;&lt; $'mput upload/*'</v>
      </c>
    </row>
    <row r="22" spans="2:2" x14ac:dyDescent="0.25">
      <c r="B22" t="str">
        <f>B$2&amp;info!E17&amp;B$3&amp;CHAR(39)&amp;B$4&amp;CHAR(39)</f>
        <v>sftp -i p2pstorage.pem ec2-user@172.31.19.38:node &lt;&lt;&lt; $'mput upload/*'</v>
      </c>
    </row>
    <row r="23" spans="2:2" x14ac:dyDescent="0.25">
      <c r="B23" t="str">
        <f>B$2&amp;info!E18&amp;B$3&amp;CHAR(39)&amp;B$4&amp;CHAR(39)</f>
        <v>sftp -i p2pstorage.pem ec2-user@172.31.19.160:node &lt;&lt;&lt; $'mput upload/*'</v>
      </c>
    </row>
    <row r="24" spans="2:2" x14ac:dyDescent="0.25">
      <c r="B24" t="str">
        <f>B$2&amp;info!E19&amp;B$3&amp;CHAR(39)&amp;B$4&amp;CHAR(39)</f>
        <v>sftp -i p2pstorage.pem ec2-user@172.31.16.91:node &lt;&lt;&lt; $'mput upload/*'</v>
      </c>
    </row>
    <row r="25" spans="2:2" x14ac:dyDescent="0.25">
      <c r="B25" t="str">
        <f>B$2&amp;info!E20&amp;B$3&amp;CHAR(39)&amp;B$4&amp;CHAR(39)</f>
        <v>sftp -i p2pstorage.pem ec2-user@172.31.22.207:node &lt;&lt;&lt; $'mput upload/*'</v>
      </c>
    </row>
    <row r="26" spans="2:2" x14ac:dyDescent="0.25">
      <c r="B26" t="str">
        <f>B$2&amp;info!E21&amp;B$3&amp;CHAR(39)&amp;B$4&amp;CHAR(39)</f>
        <v>sftp -i p2pstorage.pem ec2-user@172.31.25.39:node &lt;&lt;&lt; $'mput upload/*'</v>
      </c>
    </row>
    <row r="28" spans="2:2" x14ac:dyDescent="0.25">
      <c r="B28" t="str">
        <f>B$2&amp;info!E23&amp;B$3&amp;CHAR(39)&amp;B$4&amp;CHAR(39)</f>
        <v>sftp -i p2pstorage.pem ec2-user@172.31.18.213:node &lt;&lt;&lt; $'mput upload/*'</v>
      </c>
    </row>
    <row r="29" spans="2:2" x14ac:dyDescent="0.25">
      <c r="B29" t="str">
        <f>B$2&amp;info!E24&amp;B$3&amp;CHAR(39)&amp;B$4&amp;CHAR(39)</f>
        <v>sftp -i p2pstorage.pem ec2-user@172.31.23.72:node &lt;&lt;&lt; $'mput upload/*'</v>
      </c>
    </row>
    <row r="30" spans="2:2" x14ac:dyDescent="0.25">
      <c r="B30" t="str">
        <f>B$2&amp;info!E25&amp;B$3&amp;CHAR(39)&amp;B$4&amp;CHAR(39)</f>
        <v>sftp -i p2pstorage.pem ec2-user@172.31.31.24:node &lt;&lt;&lt; $'mput upload/*'</v>
      </c>
    </row>
    <row r="31" spans="2:2" x14ac:dyDescent="0.25">
      <c r="B31" t="str">
        <f>B$2&amp;info!E26&amp;B$3&amp;CHAR(39)&amp;B$4&amp;CHAR(39)</f>
        <v>sftp -i p2pstorage.pem ec2-user@172.31.27.58:node &lt;&lt;&lt; $'mput upload/*'</v>
      </c>
    </row>
    <row r="32" spans="2:2" x14ac:dyDescent="0.25">
      <c r="B32" t="str">
        <f>B$2&amp;info!E27&amp;B$3&amp;CHAR(39)&amp;B$4&amp;CHAR(39)</f>
        <v>sftp -i p2pstorage.pem ec2-user@172.31.17.169:node &lt;&lt;&lt; $'mput upload/*'</v>
      </c>
    </row>
    <row r="33" spans="2:2" x14ac:dyDescent="0.25">
      <c r="B33" t="str">
        <f>B$2&amp;info!E28&amp;B$3&amp;CHAR(39)&amp;B$4&amp;CHAR(39)</f>
        <v>sftp -i p2pstorage.pem ec2-user@172.31.28.12:node &lt;&lt;&lt; $'mput upload/*'</v>
      </c>
    </row>
    <row r="34" spans="2:2" x14ac:dyDescent="0.25">
      <c r="B34" t="str">
        <f>B$2&amp;info!E29&amp;B$3&amp;CHAR(39)&amp;B$4&amp;CHAR(39)</f>
        <v>sftp -i p2pstorage.pem ec2-user@172.31.20.85:node &lt;&lt;&lt; $'mput upload/*'</v>
      </c>
    </row>
    <row r="35" spans="2:2" x14ac:dyDescent="0.25">
      <c r="B35" t="str">
        <f>B$2&amp;info!E30&amp;B$3&amp;CHAR(39)&amp;B$4&amp;CHAR(39)</f>
        <v>sftp -i p2pstorage.pem ec2-user@172.31.24.7:node &lt;&lt;&lt; $'mput upload/*'</v>
      </c>
    </row>
    <row r="36" spans="2:2" x14ac:dyDescent="0.25">
      <c r="B36" t="str">
        <f>B$2&amp;info!E31&amp;B$3&amp;CHAR(39)&amp;B$4&amp;CHAR(39)</f>
        <v>sftp -i p2pstorage.pem ec2-user@172.31.29.177:node &lt;&lt;&lt; $'mput upload/*'</v>
      </c>
    </row>
    <row r="37" spans="2:2" x14ac:dyDescent="0.25">
      <c r="B37" t="str">
        <f>B$2&amp;info!E32&amp;B$3&amp;CHAR(39)&amp;B$4&amp;CHAR(39)</f>
        <v>sftp -i p2pstorage.pem ec2-user@172.31.18.111:node &lt;&lt;&lt; $'mput upload/*'</v>
      </c>
    </row>
    <row r="38" spans="2:2" x14ac:dyDescent="0.25">
      <c r="B38" t="str">
        <f>B$2&amp;info!E33&amp;B$3&amp;CHAR(39)&amp;B$4&amp;CHAR(39)</f>
        <v>sftp -i p2pstorage.pem ec2-user@172.31.18.88:node &lt;&lt;&lt; $'mput upload/*'</v>
      </c>
    </row>
    <row r="39" spans="2:2" x14ac:dyDescent="0.25">
      <c r="B39" t="str">
        <f>B$2&amp;info!E34&amp;B$3&amp;CHAR(39)&amp;B$4&amp;CHAR(39)</f>
        <v>sftp -i p2pstorage.pem ec2-user@172.31.27.94:node &lt;&lt;&lt; $'mput upload/*'</v>
      </c>
    </row>
    <row r="40" spans="2:2" x14ac:dyDescent="0.25">
      <c r="B40" t="str">
        <f>B$2&amp;info!E35&amp;B$3&amp;CHAR(39)&amp;B$4&amp;CHAR(39)</f>
        <v>sftp -i p2pstorage.pem ec2-user@172.31.28.207:node &lt;&lt;&lt; $'mput upload/*'</v>
      </c>
    </row>
    <row r="41" spans="2:2" x14ac:dyDescent="0.25">
      <c r="B41" t="str">
        <f>B$2&amp;info!E36&amp;B$3&amp;CHAR(39)&amp;B$4&amp;CHAR(39)</f>
        <v>sftp -i p2pstorage.pem ec2-user@172.31.28.32:node &lt;&lt;&lt; $'mput upload/*'</v>
      </c>
    </row>
    <row r="42" spans="2:2" x14ac:dyDescent="0.25">
      <c r="B42" t="str">
        <f>B$2&amp;info!E37&amp;B$3&amp;CHAR(39)&amp;B$4&amp;CHAR(39)</f>
        <v>sftp -i p2pstorage.pem ec2-user@172.31.22.108:node &lt;&lt;&lt; $'mput upload/*'</v>
      </c>
    </row>
    <row r="43" spans="2:2" x14ac:dyDescent="0.25">
      <c r="B43" t="str">
        <f>B$2&amp;info!E38&amp;B$3&amp;CHAR(39)&amp;B$4&amp;CHAR(39)</f>
        <v>sftp -i p2pstorage.pem ec2-user@172.31.19.189:node &lt;&lt;&lt; $'mput upload/*'</v>
      </c>
    </row>
    <row r="44" spans="2:2" x14ac:dyDescent="0.25">
      <c r="B44" t="str">
        <f>B$2&amp;info!E39&amp;B$3&amp;CHAR(39)&amp;B$4&amp;CHAR(39)</f>
        <v>sftp -i p2pstorage.pem ec2-user@172.31.16.175:node &lt;&lt;&lt; $'mput upload/*'</v>
      </c>
    </row>
    <row r="45" spans="2:2" x14ac:dyDescent="0.25">
      <c r="B45" t="str">
        <f>B$2&amp;info!E40&amp;B$3&amp;CHAR(39)&amp;B$4&amp;CHAR(39)</f>
        <v>sftp -i p2pstorage.pem ec2-user@172.31.26.82:node &lt;&lt;&lt; $'mput upload/*'</v>
      </c>
    </row>
    <row r="46" spans="2:2" x14ac:dyDescent="0.25">
      <c r="B46" t="str">
        <f>B$2&amp;info!E41&amp;B$3&amp;CHAR(39)&amp;B$4&amp;CHAR(39)</f>
        <v>sftp -i p2pstorage.pem ec2-user@172.31.29.98:node &lt;&lt;&lt; $'mput upload/*'</v>
      </c>
    </row>
    <row r="47" spans="2:2" x14ac:dyDescent="0.25">
      <c r="B47" t="str">
        <f>B$2&amp;info!E42&amp;B$3&amp;CHAR(39)&amp;B$4&amp;CHAR(39)</f>
        <v>sftp -i p2pstorage.pem ec2-user@172.31.23.103:node &lt;&lt;&lt; $'mput upload/*'</v>
      </c>
    </row>
    <row r="49" spans="2:2" x14ac:dyDescent="0.25">
      <c r="B49" t="str">
        <f>B$2&amp;info!E44&amp;B$3&amp;CHAR(39)&amp;B$4&amp;CHAR(39)</f>
        <v>sftp -i p2pstorage.pem ec2-user@172.31.29.34:node &lt;&lt;&lt; $'mput upload/*'</v>
      </c>
    </row>
    <row r="50" spans="2:2" x14ac:dyDescent="0.25">
      <c r="B50" t="str">
        <f>B$2&amp;info!E45&amp;B$3&amp;CHAR(39)&amp;B$4&amp;CHAR(39)</f>
        <v>sftp -i p2pstorage.pem ec2-user@172.31.31.208:node &lt;&lt;&lt; $'mput upload/*'</v>
      </c>
    </row>
    <row r="51" spans="2:2" x14ac:dyDescent="0.25">
      <c r="B51" t="str">
        <f>B$2&amp;info!E46&amp;B$3&amp;CHAR(39)&amp;B$4&amp;CHAR(39)</f>
        <v>sftp -i p2pstorage.pem ec2-user@172.31.19.51:node &lt;&lt;&lt; $'mput upload/*'</v>
      </c>
    </row>
    <row r="52" spans="2:2" x14ac:dyDescent="0.25">
      <c r="B52" t="str">
        <f>B$2&amp;info!E47&amp;B$3&amp;CHAR(39)&amp;B$4&amp;CHAR(39)</f>
        <v>sftp -i p2pstorage.pem ec2-user@172.31.31.54:node &lt;&lt;&lt; $'mput upload/*'</v>
      </c>
    </row>
    <row r="53" spans="2:2" x14ac:dyDescent="0.25">
      <c r="B53" t="str">
        <f>B$2&amp;info!E48&amp;B$3&amp;CHAR(39)&amp;B$4&amp;CHAR(39)</f>
        <v>sftp -i p2pstorage.pem ec2-user@172.31.26.164:node &lt;&lt;&lt; $'mput upload/*'</v>
      </c>
    </row>
    <row r="54" spans="2:2" x14ac:dyDescent="0.25">
      <c r="B54" t="str">
        <f>B$2&amp;info!E49&amp;B$3&amp;CHAR(39)&amp;B$4&amp;CHAR(39)</f>
        <v>sftp -i p2pstorage.pem ec2-user@172.31.25.233:node &lt;&lt;&lt; $'mput upload/*'</v>
      </c>
    </row>
    <row r="55" spans="2:2" x14ac:dyDescent="0.25">
      <c r="B55" t="str">
        <f>B$2&amp;info!E50&amp;B$3&amp;CHAR(39)&amp;B$4&amp;CHAR(39)</f>
        <v>sftp -i p2pstorage.pem ec2-user@172.31.22.203:node &lt;&lt;&lt; $'mput upload/*'</v>
      </c>
    </row>
    <row r="56" spans="2:2" x14ac:dyDescent="0.25">
      <c r="B56" t="str">
        <f>B$2&amp;info!E51&amp;B$3&amp;CHAR(39)&amp;B$4&amp;CHAR(39)</f>
        <v>sftp -i p2pstorage.pem ec2-user@172.31.19.225:node &lt;&lt;&lt; $'mput upload/*'</v>
      </c>
    </row>
    <row r="57" spans="2:2" x14ac:dyDescent="0.25">
      <c r="B57" t="str">
        <f>B$2&amp;info!E52&amp;B$3&amp;CHAR(39)&amp;B$4&amp;CHAR(39)</f>
        <v>sftp -i p2pstorage.pem ec2-user@172.31.26.244:node &lt;&lt;&lt; $'mput upload/*'</v>
      </c>
    </row>
    <row r="58" spans="2:2" x14ac:dyDescent="0.25">
      <c r="B58" t="str">
        <f>B$2&amp;info!E53&amp;B$3&amp;CHAR(39)&amp;B$4&amp;CHAR(39)</f>
        <v>sftp -i p2pstorage.pem ec2-user@172.31.30.61:node &lt;&lt;&lt; $'mput upload/*'</v>
      </c>
    </row>
    <row r="59" spans="2:2" x14ac:dyDescent="0.25">
      <c r="B59" t="str">
        <f>B$2&amp;info!E54&amp;B$3&amp;CHAR(39)&amp;B$4&amp;CHAR(39)</f>
        <v>sftp -i p2pstorage.pem ec2-user@172.31.29.11:node &lt;&lt;&lt; $'mput upload/*'</v>
      </c>
    </row>
    <row r="60" spans="2:2" x14ac:dyDescent="0.25">
      <c r="B60" t="str">
        <f>B$2&amp;info!E55&amp;B$3&amp;CHAR(39)&amp;B$4&amp;CHAR(39)</f>
        <v>sftp -i p2pstorage.pem ec2-user@172.31.17.199:node &lt;&lt;&lt; $'mput upload/*'</v>
      </c>
    </row>
    <row r="61" spans="2:2" x14ac:dyDescent="0.25">
      <c r="B61" t="str">
        <f>B$2&amp;info!E56&amp;B$3&amp;CHAR(39)&amp;B$4&amp;CHAR(39)</f>
        <v>sftp -i p2pstorage.pem ec2-user@172.31.26.151:node &lt;&lt;&lt; $'mput upload/*'</v>
      </c>
    </row>
    <row r="62" spans="2:2" x14ac:dyDescent="0.25">
      <c r="B62" t="str">
        <f>B$2&amp;info!E57&amp;B$3&amp;CHAR(39)&amp;B$4&amp;CHAR(39)</f>
        <v>sftp -i p2pstorage.pem ec2-user@172.31.25.77:node &lt;&lt;&lt; $'mput upload/*'</v>
      </c>
    </row>
    <row r="63" spans="2:2" x14ac:dyDescent="0.25">
      <c r="B63" t="str">
        <f>B$2&amp;info!E58&amp;B$3&amp;CHAR(39)&amp;B$4&amp;CHAR(39)</f>
        <v>sftp -i p2pstorage.pem ec2-user@172.31.27.166:node &lt;&lt;&lt; $'mput upload/*'</v>
      </c>
    </row>
    <row r="64" spans="2:2" x14ac:dyDescent="0.25">
      <c r="B64" t="str">
        <f>B$2&amp;info!E59&amp;B$3&amp;CHAR(39)&amp;B$4&amp;CHAR(39)</f>
        <v>sftp -i p2pstorage.pem ec2-user@172.31.17.98:node &lt;&lt;&lt; $'mput upload/*'</v>
      </c>
    </row>
    <row r="65" spans="2:2" x14ac:dyDescent="0.25">
      <c r="B65" t="str">
        <f>B$2&amp;info!E60&amp;B$3&amp;CHAR(39)&amp;B$4&amp;CHAR(39)</f>
        <v>sftp -i p2pstorage.pem ec2-user@172.31.27.25:node &lt;&lt;&lt; $'mput upload/*'</v>
      </c>
    </row>
    <row r="66" spans="2:2" x14ac:dyDescent="0.25">
      <c r="B66" t="str">
        <f>B$2&amp;info!E61&amp;B$3&amp;CHAR(39)&amp;B$4&amp;CHAR(39)</f>
        <v>sftp -i p2pstorage.pem ec2-user@172.31.24.96:node &lt;&lt;&lt; $'mput upload/*'</v>
      </c>
    </row>
    <row r="67" spans="2:2" x14ac:dyDescent="0.25">
      <c r="B67" t="str">
        <f>B$2&amp;info!E62&amp;B$3&amp;CHAR(39)&amp;B$4&amp;CHAR(39)</f>
        <v>sftp -i p2pstorage.pem ec2-user@172.31.22.197:node &lt;&lt;&lt; $'mput upload/*'</v>
      </c>
    </row>
    <row r="68" spans="2:2" x14ac:dyDescent="0.25">
      <c r="B68" t="str">
        <f>B$2&amp;info!E63&amp;B$3&amp;CHAR(39)&amp;B$4&amp;CHAR(39)</f>
        <v>sftp -i p2pstorage.pem ec2-user@172.31.20.108:node &lt;&lt;&lt; $'mput upload/*'</v>
      </c>
    </row>
    <row r="70" spans="2:2" x14ac:dyDescent="0.25">
      <c r="B70" t="str">
        <f>B$2&amp;info!E65&amp;B$3&amp;CHAR(39)&amp;B$4&amp;CHAR(39)</f>
        <v>sftp -i p2pstorage.pem ec2-user@172.31.27.188:node &lt;&lt;&lt; $'mput upload/*'</v>
      </c>
    </row>
    <row r="71" spans="2:2" x14ac:dyDescent="0.25">
      <c r="B71" t="str">
        <f>B$2&amp;info!E66&amp;B$3&amp;CHAR(39)&amp;B$4&amp;CHAR(39)</f>
        <v>sftp -i p2pstorage.pem ec2-user@172.31.26.227:node &lt;&lt;&lt; $'mput upload/*'</v>
      </c>
    </row>
    <row r="72" spans="2:2" x14ac:dyDescent="0.25">
      <c r="B72" t="str">
        <f>B$2&amp;info!E67&amp;B$3&amp;CHAR(39)&amp;B$4&amp;CHAR(39)</f>
        <v>sftp -i p2pstorage.pem ec2-user@172.31.19.74:node &lt;&lt;&lt; $'mput upload/*'</v>
      </c>
    </row>
    <row r="73" spans="2:2" x14ac:dyDescent="0.25">
      <c r="B73" t="str">
        <f>B$2&amp;info!E68&amp;B$3&amp;CHAR(39)&amp;B$4&amp;CHAR(39)</f>
        <v>sftp -i p2pstorage.pem ec2-user@172.31.18.89:node &lt;&lt;&lt; $'mput upload/*'</v>
      </c>
    </row>
    <row r="74" spans="2:2" x14ac:dyDescent="0.25">
      <c r="B74" t="str">
        <f>B$2&amp;info!E69&amp;B$3&amp;CHAR(39)&amp;B$4&amp;CHAR(39)</f>
        <v>sftp -i p2pstorage.pem ec2-user@172.31.22.198:node &lt;&lt;&lt; $'mput upload/*'</v>
      </c>
    </row>
    <row r="75" spans="2:2" x14ac:dyDescent="0.25">
      <c r="B75" t="str">
        <f>B$2&amp;info!E70&amp;B$3&amp;CHAR(39)&amp;B$4&amp;CHAR(39)</f>
        <v>sftp -i p2pstorage.pem ec2-user@172.31.20.6:node &lt;&lt;&lt; $'mput upload/*'</v>
      </c>
    </row>
    <row r="76" spans="2:2" x14ac:dyDescent="0.25">
      <c r="B76" t="str">
        <f>B$2&amp;info!E71&amp;B$3&amp;CHAR(39)&amp;B$4&amp;CHAR(39)</f>
        <v>sftp -i p2pstorage.pem ec2-user@172.31.24.234:node &lt;&lt;&lt; $'mput upload/*'</v>
      </c>
    </row>
    <row r="77" spans="2:2" x14ac:dyDescent="0.25">
      <c r="B77" t="str">
        <f>B$2&amp;info!E72&amp;B$3&amp;CHAR(39)&amp;B$4&amp;CHAR(39)</f>
        <v>sftp -i p2pstorage.pem ec2-user@172.31.16.123:node &lt;&lt;&lt; $'mput upload/*'</v>
      </c>
    </row>
    <row r="78" spans="2:2" x14ac:dyDescent="0.25">
      <c r="B78" t="str">
        <f>B$2&amp;info!E73&amp;B$3&amp;CHAR(39)&amp;B$4&amp;CHAR(39)</f>
        <v>sftp -i p2pstorage.pem ec2-user@172.31.22.139:node &lt;&lt;&lt; $'mput upload/*'</v>
      </c>
    </row>
    <row r="79" spans="2:2" x14ac:dyDescent="0.25">
      <c r="B79" t="str">
        <f>B$2&amp;info!E74&amp;B$3&amp;CHAR(39)&amp;B$4&amp;CHAR(39)</f>
        <v>sftp -i p2pstorage.pem ec2-user@172.31.29.152:node &lt;&lt;&lt; $'mput upload/*'</v>
      </c>
    </row>
    <row r="80" spans="2:2" x14ac:dyDescent="0.25">
      <c r="B80" t="str">
        <f>B$2&amp;info!E75&amp;B$3&amp;CHAR(39)&amp;B$4&amp;CHAR(39)</f>
        <v>sftp -i p2pstorage.pem ec2-user@172.31.28.114:node &lt;&lt;&lt; $'mput upload/*'</v>
      </c>
    </row>
    <row r="81" spans="2:2" x14ac:dyDescent="0.25">
      <c r="B81" t="str">
        <f>B$2&amp;info!E76&amp;B$3&amp;CHAR(39)&amp;B$4&amp;CHAR(39)</f>
        <v>sftp -i p2pstorage.pem ec2-user@172.31.26.46:node &lt;&lt;&lt; $'mput upload/*'</v>
      </c>
    </row>
    <row r="82" spans="2:2" x14ac:dyDescent="0.25">
      <c r="B82" t="str">
        <f>B$2&amp;info!E77&amp;B$3&amp;CHAR(39)&amp;B$4&amp;CHAR(39)</f>
        <v>sftp -i p2pstorage.pem ec2-user@172.31.17.17:node &lt;&lt;&lt; $'mput upload/*'</v>
      </c>
    </row>
    <row r="83" spans="2:2" x14ac:dyDescent="0.25">
      <c r="B83" t="str">
        <f>B$2&amp;info!E78&amp;B$3&amp;CHAR(39)&amp;B$4&amp;CHAR(39)</f>
        <v>sftp -i p2pstorage.pem ec2-user@172.31.24.201:node &lt;&lt;&lt; $'mput upload/*'</v>
      </c>
    </row>
    <row r="84" spans="2:2" x14ac:dyDescent="0.25">
      <c r="B84" t="str">
        <f>B$2&amp;info!E79&amp;B$3&amp;CHAR(39)&amp;B$4&amp;CHAR(39)</f>
        <v>sftp -i p2pstorage.pem ec2-user@172.31.19.18:node &lt;&lt;&lt; $'mput upload/*'</v>
      </c>
    </row>
    <row r="85" spans="2:2" x14ac:dyDescent="0.25">
      <c r="B85" t="str">
        <f>B$2&amp;info!E80&amp;B$3&amp;CHAR(39)&amp;B$4&amp;CHAR(39)</f>
        <v>sftp -i p2pstorage.pem ec2-user@172.31.21.225:node &lt;&lt;&lt; $'mput upload/*'</v>
      </c>
    </row>
    <row r="86" spans="2:2" x14ac:dyDescent="0.25">
      <c r="B86" t="str">
        <f>B$2&amp;info!E81&amp;B$3&amp;CHAR(39)&amp;B$4&amp;CHAR(39)</f>
        <v>sftp -i p2pstorage.pem ec2-user@172.31.16.19:node &lt;&lt;&lt; $'mput upload/*'</v>
      </c>
    </row>
    <row r="87" spans="2:2" x14ac:dyDescent="0.25">
      <c r="B87" t="str">
        <f>B$2&amp;info!E82&amp;B$3&amp;CHAR(39)&amp;B$4&amp;CHAR(39)</f>
        <v>sftp -i p2pstorage.pem ec2-user@172.31.18.160:node &lt;&lt;&lt; $'mput upload/*'</v>
      </c>
    </row>
    <row r="88" spans="2:2" x14ac:dyDescent="0.25">
      <c r="B88" t="str">
        <f>B$2&amp;info!E83&amp;B$3&amp;CHAR(39)&amp;B$4&amp;CHAR(39)</f>
        <v>sftp -i p2pstorage.pem ec2-user@172.31.31.237:node &lt;&lt;&lt; $'mput upload/*'</v>
      </c>
    </row>
    <row r="89" spans="2:2" x14ac:dyDescent="0.25">
      <c r="B89" t="str">
        <f>B$2&amp;info!E84&amp;B$3&amp;CHAR(39)&amp;B$4&amp;CHAR(39)</f>
        <v>sftp -i p2pstorage.pem ec2-user@172.31.16.236:node &lt;&lt;&lt; $'mput upload/*'</v>
      </c>
    </row>
    <row r="91" spans="2:2" x14ac:dyDescent="0.25">
      <c r="B91" t="str">
        <f>B$2&amp;info!E86&amp;B$3&amp;CHAR(39)&amp;B$4&amp;CHAR(39)</f>
        <v>sftp -i p2pstorage.pem ec2-user@172.31.29.142:node &lt;&lt;&lt; $'mput upload/*'</v>
      </c>
    </row>
    <row r="92" spans="2:2" x14ac:dyDescent="0.25">
      <c r="B92" t="str">
        <f>B$2&amp;info!E87&amp;B$3&amp;CHAR(39)&amp;B$4&amp;CHAR(39)</f>
        <v>sftp -i p2pstorage.pem ec2-user@172.31.20.77:node &lt;&lt;&lt; $'mput upload/*'</v>
      </c>
    </row>
    <row r="93" spans="2:2" x14ac:dyDescent="0.25">
      <c r="B93" t="str">
        <f>B$2&amp;info!E88&amp;B$3&amp;CHAR(39)&amp;B$4&amp;CHAR(39)</f>
        <v>sftp -i p2pstorage.pem ec2-user@172.31.20.25:node &lt;&lt;&lt; $'mput upload/*'</v>
      </c>
    </row>
    <row r="94" spans="2:2" x14ac:dyDescent="0.25">
      <c r="B94" t="str">
        <f>B$2&amp;info!E89&amp;B$3&amp;CHAR(39)&amp;B$4&amp;CHAR(39)</f>
        <v>sftp -i p2pstorage.pem ec2-user@172.31.19.239:node &lt;&lt;&lt; $'mput upload/*'</v>
      </c>
    </row>
    <row r="95" spans="2:2" x14ac:dyDescent="0.25">
      <c r="B95" t="str">
        <f>B$2&amp;info!E90&amp;B$3&amp;CHAR(39)&amp;B$4&amp;CHAR(39)</f>
        <v>sftp -i p2pstorage.pem ec2-user@172.31.23.251:node &lt;&lt;&lt; $'mput upload/*'</v>
      </c>
    </row>
    <row r="96" spans="2:2" x14ac:dyDescent="0.25">
      <c r="B96" t="str">
        <f>B$2&amp;info!E91&amp;B$3&amp;CHAR(39)&amp;B$4&amp;CHAR(39)</f>
        <v>sftp -i p2pstorage.pem ec2-user@172.31.16.43:node &lt;&lt;&lt; $'mput upload/*'</v>
      </c>
    </row>
    <row r="97" spans="2:2" x14ac:dyDescent="0.25">
      <c r="B97" t="str">
        <f>B$2&amp;info!E92&amp;B$3&amp;CHAR(39)&amp;B$4&amp;CHAR(39)</f>
        <v>sftp -i p2pstorage.pem ec2-user@172.31.21.110:node &lt;&lt;&lt; $'mput upload/*'</v>
      </c>
    </row>
    <row r="98" spans="2:2" x14ac:dyDescent="0.25">
      <c r="B98" t="str">
        <f>B$2&amp;info!E93&amp;B$3&amp;CHAR(39)&amp;B$4&amp;CHAR(39)</f>
        <v>sftp -i p2pstorage.pem ec2-user@172.31.24.55:node &lt;&lt;&lt; $'mput upload/*'</v>
      </c>
    </row>
    <row r="99" spans="2:2" x14ac:dyDescent="0.25">
      <c r="B99" t="str">
        <f>B$2&amp;info!E94&amp;B$3&amp;CHAR(39)&amp;B$4&amp;CHAR(39)</f>
        <v>sftp -i p2pstorage.pem ec2-user@172.31.31.148:node &lt;&lt;&lt; $'mput upload/*'</v>
      </c>
    </row>
    <row r="100" spans="2:2" x14ac:dyDescent="0.25">
      <c r="B100" t="str">
        <f>B$2&amp;info!E95&amp;B$3&amp;CHAR(39)&amp;B$4&amp;CHAR(39)</f>
        <v>sftp -i p2pstorage.pem ec2-user@172.31.25.125:node &lt;&lt;&lt; $'mput upload/*'</v>
      </c>
    </row>
    <row r="101" spans="2:2" x14ac:dyDescent="0.25">
      <c r="B101" t="str">
        <f>B$2&amp;info!E96&amp;B$3&amp;CHAR(39)&amp;B$4&amp;CHAR(39)</f>
        <v>sftp -i p2pstorage.pem ec2-user@172.31.22.253:node &lt;&lt;&lt; $'mput upload/*'</v>
      </c>
    </row>
    <row r="102" spans="2:2" x14ac:dyDescent="0.25">
      <c r="B102" t="str">
        <f>B$2&amp;info!E97&amp;B$3&amp;CHAR(39)&amp;B$4&amp;CHAR(39)</f>
        <v>sftp -i p2pstorage.pem ec2-user@172.31.20.255:node &lt;&lt;&lt; $'mput upload/*'</v>
      </c>
    </row>
    <row r="103" spans="2:2" x14ac:dyDescent="0.25">
      <c r="B103" t="str">
        <f>B$2&amp;info!E98&amp;B$3&amp;CHAR(39)&amp;B$4&amp;CHAR(39)</f>
        <v>sftp -i p2pstorage.pem ec2-user@172.31.18.234:node &lt;&lt;&lt; $'mput upload/*'</v>
      </c>
    </row>
    <row r="104" spans="2:2" x14ac:dyDescent="0.25">
      <c r="B104" t="str">
        <f>B$2&amp;info!E99&amp;B$3&amp;CHAR(39)&amp;B$4&amp;CHAR(39)</f>
        <v>sftp -i p2pstorage.pem ec2-user@172.31.29.186:node &lt;&lt;&lt; $'mput upload/*'</v>
      </c>
    </row>
    <row r="105" spans="2:2" x14ac:dyDescent="0.25">
      <c r="B105" t="str">
        <f>B$2&amp;info!E100&amp;B$3&amp;CHAR(39)&amp;B$4&amp;CHAR(39)</f>
        <v>sftp -i p2pstorage.pem ec2-user@172.31.31.15:node &lt;&lt;&lt; $'mput upload/*'</v>
      </c>
    </row>
    <row r="106" spans="2:2" x14ac:dyDescent="0.25">
      <c r="B106" t="str">
        <f>B$2&amp;info!E101&amp;B$3&amp;CHAR(39)&amp;B$4&amp;CHAR(39)</f>
        <v>sftp -i p2pstorage.pem ec2-user@172.31.25.144:node &lt;&lt;&lt; $'mput upload/*'</v>
      </c>
    </row>
    <row r="107" spans="2:2" x14ac:dyDescent="0.25">
      <c r="B107" t="str">
        <f>B$2&amp;info!E102&amp;B$3&amp;CHAR(39)&amp;B$4&amp;CHAR(39)</f>
        <v>sftp -i p2pstorage.pem ec2-user@172.31.20.104:node &lt;&lt;&lt; $'mput upload/*'</v>
      </c>
    </row>
    <row r="108" spans="2:2" x14ac:dyDescent="0.25">
      <c r="B108" t="str">
        <f>B$2&amp;info!E103&amp;B$3&amp;CHAR(39)&amp;B$4&amp;CHAR(39)</f>
        <v>sftp -i p2pstorage.pem ec2-user@172.31.25.100:node &lt;&lt;&lt; $'mput upload/*'</v>
      </c>
    </row>
    <row r="109" spans="2:2" x14ac:dyDescent="0.25">
      <c r="B109" t="str">
        <f>B$2&amp;info!E104&amp;B$3&amp;CHAR(39)&amp;B$4&amp;CHAR(39)</f>
        <v>sftp -i p2pstorage.pem ec2-user@172.31.25.167:node &lt;&lt;&lt; $'mput upload/*'</v>
      </c>
    </row>
    <row r="110" spans="2:2" x14ac:dyDescent="0.25">
      <c r="B110" t="str">
        <f>B$2&amp;info!E105&amp;B$3&amp;CHAR(39)&amp;B$4&amp;CHAR(39)</f>
        <v>sftp -i p2pstorage.pem ec2-user@172.31.28.55:node &lt;&lt;&lt; $'mput upload/*'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9B1D-700E-4508-A164-F21182862E08}">
  <dimension ref="B2:H110"/>
  <sheetViews>
    <sheetView workbookViewId="0">
      <selection activeCell="B7" sqref="B7:B26"/>
    </sheetView>
  </sheetViews>
  <sheetFormatPr defaultRowHeight="15" x14ac:dyDescent="0.25"/>
  <sheetData>
    <row r="2" spans="2:8" x14ac:dyDescent="0.25">
      <c r="B2" t="s">
        <v>92</v>
      </c>
      <c r="H2" t="s">
        <v>141</v>
      </c>
    </row>
    <row r="3" spans="2:8" x14ac:dyDescent="0.25">
      <c r="B3" t="s">
        <v>143</v>
      </c>
    </row>
    <row r="4" spans="2:8" x14ac:dyDescent="0.25">
      <c r="B4" t="s">
        <v>142</v>
      </c>
    </row>
    <row r="7" spans="2:8" x14ac:dyDescent="0.25">
      <c r="B7" t="str">
        <f>B$2&amp;info!E2&amp;B$3&amp;info!D2&amp;B$4</f>
        <v>sftp -i p2pstorage.pem ec2-user@172.31.16.10:node/logs/c01-c5-4xlarge_workload.csv</v>
      </c>
    </row>
    <row r="8" spans="2:8" x14ac:dyDescent="0.25">
      <c r="B8" t="str">
        <f>B$2&amp;info!E3&amp;B$3&amp;info!D3&amp;B$4</f>
        <v>sftp -i p2pstorage.pem ec2-user@172.31.27.28:node/logs/c02-t2-small_workload.csv</v>
      </c>
    </row>
    <row r="9" spans="2:8" x14ac:dyDescent="0.25">
      <c r="B9" t="str">
        <f>B$2&amp;info!E4&amp;B$3&amp;info!D4&amp;B$4</f>
        <v>sftp -i p2pstorage.pem ec2-user@172.31.24.48:node/logs/c03-t2-small_workload.csv</v>
      </c>
    </row>
    <row r="10" spans="2:8" x14ac:dyDescent="0.25">
      <c r="B10" t="str">
        <f>B$2&amp;info!E5&amp;B$3&amp;info!D5&amp;B$4</f>
        <v>sftp -i p2pstorage.pem ec2-user@172.31.19.20:node/logs/c04-t2-small_workload.csv</v>
      </c>
    </row>
    <row r="11" spans="2:8" x14ac:dyDescent="0.25">
      <c r="B11" t="str">
        <f>B$2&amp;info!E6&amp;B$3&amp;info!D6&amp;B$4</f>
        <v>sftp -i p2pstorage.pem ec2-user@172.31.21.44:node/logs/c05-t2-medium_workload.csv</v>
      </c>
    </row>
    <row r="12" spans="2:8" x14ac:dyDescent="0.25">
      <c r="B12" t="str">
        <f>B$2&amp;info!E7&amp;B$3&amp;info!D7&amp;B$4</f>
        <v>sftp -i p2pstorage.pem ec2-user@172.31.42.48:node/logs/c06-t2-medium_workload.csv</v>
      </c>
    </row>
    <row r="13" spans="2:8" x14ac:dyDescent="0.25">
      <c r="B13" t="str">
        <f>B$2&amp;info!E8&amp;B$3&amp;info!D8&amp;B$4</f>
        <v>sftp -i p2pstorage.pem ec2-user@172.31.6.148:node/logs/c07-t2-medium_workload.csv</v>
      </c>
    </row>
    <row r="14" spans="2:8" x14ac:dyDescent="0.25">
      <c r="B14" t="str">
        <f>B$2&amp;info!E9&amp;B$3&amp;info!D9&amp;B$4</f>
        <v>sftp -i p2pstorage.pem ec2-user@172.31.21.20:node/logs/c08-c5-xlarge_workload.csv</v>
      </c>
    </row>
    <row r="15" spans="2:8" x14ac:dyDescent="0.25">
      <c r="B15" t="str">
        <f>B$2&amp;info!E10&amp;B$3&amp;info!D10&amp;B$4</f>
        <v>sftp -i p2pstorage.pem ec2-user@172.31.29.51:node/logs/c09-c5-xlarge_workload.csv</v>
      </c>
    </row>
    <row r="16" spans="2:8" x14ac:dyDescent="0.25">
      <c r="B16" t="str">
        <f>B$2&amp;info!E11&amp;B$3&amp;info!D11&amp;B$4</f>
        <v>sftp -i p2pstorage.pem ec2-user@172.31.27.113:node/logs/c10-c5-2xlarge_workload.csv</v>
      </c>
    </row>
    <row r="17" spans="2:2" x14ac:dyDescent="0.25">
      <c r="B17" t="str">
        <f>B$2&amp;info!E12&amp;B$3&amp;info!D12&amp;B$4</f>
        <v>sftp -i p2pstorage.pem ec2-user@172.31.31.235:node/logs/c11-c5-4xlarge_workload.csv</v>
      </c>
    </row>
    <row r="18" spans="2:2" x14ac:dyDescent="0.25">
      <c r="B18" t="str">
        <f>B$2&amp;info!E13&amp;B$3&amp;info!D13&amp;B$4</f>
        <v>sftp -i p2pstorage.pem ec2-user@172.31.23.24:node/logs/c12-t2-small_workload.csv</v>
      </c>
    </row>
    <row r="19" spans="2:2" x14ac:dyDescent="0.25">
      <c r="B19" t="str">
        <f>B$2&amp;info!E14&amp;B$3&amp;info!D14&amp;B$4</f>
        <v>sftp -i p2pstorage.pem ec2-user@172.31.28.220:node/logs/c13-t2-small_workload.csv</v>
      </c>
    </row>
    <row r="20" spans="2:2" x14ac:dyDescent="0.25">
      <c r="B20" t="str">
        <f>B$2&amp;info!E15&amp;B$3&amp;info!D15&amp;B$4</f>
        <v>sftp -i p2pstorage.pem ec2-user@172.31.28.38:node/logs/c14-t2-small_workload.csv</v>
      </c>
    </row>
    <row r="21" spans="2:2" x14ac:dyDescent="0.25">
      <c r="B21" t="str">
        <f>B$2&amp;info!E16&amp;B$3&amp;info!D16&amp;B$4</f>
        <v>sftp -i p2pstorage.pem ec2-user@172.31.31.7:node/logs/c15-t2-medium_workload.csv</v>
      </c>
    </row>
    <row r="22" spans="2:2" x14ac:dyDescent="0.25">
      <c r="B22" t="str">
        <f>B$2&amp;info!E17&amp;B$3&amp;info!D17&amp;B$4</f>
        <v>sftp -i p2pstorage.pem ec2-user@172.31.19.38:node/logs/c16-t2-medium_workload.csv</v>
      </c>
    </row>
    <row r="23" spans="2:2" x14ac:dyDescent="0.25">
      <c r="B23" t="str">
        <f>B$2&amp;info!E18&amp;B$3&amp;info!D18&amp;B$4</f>
        <v>sftp -i p2pstorage.pem ec2-user@172.31.19.160:node/logs/c17-t2-medium_workload.csv</v>
      </c>
    </row>
    <row r="24" spans="2:2" x14ac:dyDescent="0.25">
      <c r="B24" t="str">
        <f>B$2&amp;info!E19&amp;B$3&amp;info!D19&amp;B$4</f>
        <v>sftp -i p2pstorage.pem ec2-user@172.31.16.91:node/logs/c18-c5-xlarge_workload.csv</v>
      </c>
    </row>
    <row r="25" spans="2:2" x14ac:dyDescent="0.25">
      <c r="B25" t="str">
        <f>B$2&amp;info!E20&amp;B$3&amp;info!D20&amp;B$4</f>
        <v>sftp -i p2pstorage.pem ec2-user@172.31.22.207:node/logs/c19-c5-xlarge_workload.csv</v>
      </c>
    </row>
    <row r="26" spans="2:2" x14ac:dyDescent="0.25">
      <c r="B26" t="str">
        <f>B$2&amp;info!E21&amp;B$3&amp;info!D21&amp;B$4</f>
        <v>sftp -i p2pstorage.pem ec2-user@172.31.25.39:node/logs/c20-c5-2xlarge_workload.csv</v>
      </c>
    </row>
    <row r="28" spans="2:2" x14ac:dyDescent="0.25">
      <c r="B28" t="str">
        <f>B$2&amp;info!E23&amp;B$3&amp;info!D23&amp;B$4</f>
        <v>sftp -i p2pstorage.pem ec2-user@172.31.18.213:node/logs/c21-c5-4xlarge_workload.csv</v>
      </c>
    </row>
    <row r="29" spans="2:2" x14ac:dyDescent="0.25">
      <c r="B29" t="str">
        <f>B$2&amp;info!E24&amp;B$3&amp;info!D24&amp;B$4</f>
        <v>sftp -i p2pstorage.pem ec2-user@172.31.23.72:node/logs/c22-t2-small_workload.csv</v>
      </c>
    </row>
    <row r="30" spans="2:2" x14ac:dyDescent="0.25">
      <c r="B30" t="str">
        <f>B$2&amp;info!E25&amp;B$3&amp;info!D25&amp;B$4</f>
        <v>sftp -i p2pstorage.pem ec2-user@172.31.31.24:node/logs/c23-t2-small_workload.csv</v>
      </c>
    </row>
    <row r="31" spans="2:2" x14ac:dyDescent="0.25">
      <c r="B31" t="str">
        <f>B$2&amp;info!E26&amp;B$3&amp;info!D26&amp;B$4</f>
        <v>sftp -i p2pstorage.pem ec2-user@172.31.27.58:node/logs/c24-t2-small_workload.csv</v>
      </c>
    </row>
    <row r="32" spans="2:2" x14ac:dyDescent="0.25">
      <c r="B32" t="str">
        <f>B$2&amp;info!E27&amp;B$3&amp;info!D27&amp;B$4</f>
        <v>sftp -i p2pstorage.pem ec2-user@172.31.17.169:node/logs/c25-t2-medium_workload.csv</v>
      </c>
    </row>
    <row r="33" spans="2:2" x14ac:dyDescent="0.25">
      <c r="B33" t="str">
        <f>B$2&amp;info!E28&amp;B$3&amp;info!D28&amp;B$4</f>
        <v>sftp -i p2pstorage.pem ec2-user@172.31.28.12:node/logs/c26-t2-medium_workload.csv</v>
      </c>
    </row>
    <row r="34" spans="2:2" x14ac:dyDescent="0.25">
      <c r="B34" t="str">
        <f>B$2&amp;info!E29&amp;B$3&amp;info!D29&amp;B$4</f>
        <v>sftp -i p2pstorage.pem ec2-user@172.31.20.85:node/logs/c27-t2-medium_workload.csv</v>
      </c>
    </row>
    <row r="35" spans="2:2" x14ac:dyDescent="0.25">
      <c r="B35" t="str">
        <f>B$2&amp;info!E30&amp;B$3&amp;info!D30&amp;B$4</f>
        <v>sftp -i p2pstorage.pem ec2-user@172.31.24.7:node/logs/c28-c5-xlarge_workload.csv</v>
      </c>
    </row>
    <row r="36" spans="2:2" x14ac:dyDescent="0.25">
      <c r="B36" t="str">
        <f>B$2&amp;info!E31&amp;B$3&amp;info!D31&amp;B$4</f>
        <v>sftp -i p2pstorage.pem ec2-user@172.31.29.177:node/logs/c29-c5-xlarge_workload.csv</v>
      </c>
    </row>
    <row r="37" spans="2:2" x14ac:dyDescent="0.25">
      <c r="B37" t="str">
        <f>B$2&amp;info!E32&amp;B$3&amp;info!D32&amp;B$4</f>
        <v>sftp -i p2pstorage.pem ec2-user@172.31.18.111:node/logs/c30-c5-2xlarge_workload.csv</v>
      </c>
    </row>
    <row r="38" spans="2:2" x14ac:dyDescent="0.25">
      <c r="B38" t="str">
        <f>B$2&amp;info!E33&amp;B$3&amp;info!D33&amp;B$4</f>
        <v>sftp -i p2pstorage.pem ec2-user@172.31.18.88:node/logs/c31-c5-4xlarge_workload.csv</v>
      </c>
    </row>
    <row r="39" spans="2:2" x14ac:dyDescent="0.25">
      <c r="B39" t="str">
        <f>B$2&amp;info!E34&amp;B$3&amp;info!D34&amp;B$4</f>
        <v>sftp -i p2pstorage.pem ec2-user@172.31.27.94:node/logs/c32-t2-small_workload.csv</v>
      </c>
    </row>
    <row r="40" spans="2:2" x14ac:dyDescent="0.25">
      <c r="B40" t="str">
        <f>B$2&amp;info!E35&amp;B$3&amp;info!D35&amp;B$4</f>
        <v>sftp -i p2pstorage.pem ec2-user@172.31.28.207:node/logs/c33-t2-small_workload.csv</v>
      </c>
    </row>
    <row r="41" spans="2:2" x14ac:dyDescent="0.25">
      <c r="B41" t="str">
        <f>B$2&amp;info!E36&amp;B$3&amp;info!D36&amp;B$4</f>
        <v>sftp -i p2pstorage.pem ec2-user@172.31.28.32:node/logs/c34-t2-small_workload.csv</v>
      </c>
    </row>
    <row r="42" spans="2:2" x14ac:dyDescent="0.25">
      <c r="B42" t="str">
        <f>B$2&amp;info!E37&amp;B$3&amp;info!D37&amp;B$4</f>
        <v>sftp -i p2pstorage.pem ec2-user@172.31.22.108:node/logs/c35-t2-medium_workload.csv</v>
      </c>
    </row>
    <row r="43" spans="2:2" x14ac:dyDescent="0.25">
      <c r="B43" t="str">
        <f>B$2&amp;info!E38&amp;B$3&amp;info!D38&amp;B$4</f>
        <v>sftp -i p2pstorage.pem ec2-user@172.31.19.189:node/logs/c36-t2-medium_workload.csv</v>
      </c>
    </row>
    <row r="44" spans="2:2" x14ac:dyDescent="0.25">
      <c r="B44" t="str">
        <f>B$2&amp;info!E39&amp;B$3&amp;info!D39&amp;B$4</f>
        <v>sftp -i p2pstorage.pem ec2-user@172.31.16.175:node/logs/c37-t2-medium_workload.csv</v>
      </c>
    </row>
    <row r="45" spans="2:2" x14ac:dyDescent="0.25">
      <c r="B45" t="str">
        <f>B$2&amp;info!E40&amp;B$3&amp;info!D40&amp;B$4</f>
        <v>sftp -i p2pstorage.pem ec2-user@172.31.26.82:node/logs/c38-c5-xlarge_workload.csv</v>
      </c>
    </row>
    <row r="46" spans="2:2" x14ac:dyDescent="0.25">
      <c r="B46" t="str">
        <f>B$2&amp;info!E41&amp;B$3&amp;info!D41&amp;B$4</f>
        <v>sftp -i p2pstorage.pem ec2-user@172.31.29.98:node/logs/c39-c5-xlarge_workload.csv</v>
      </c>
    </row>
    <row r="47" spans="2:2" x14ac:dyDescent="0.25">
      <c r="B47" t="str">
        <f>B$2&amp;info!E42&amp;B$3&amp;info!D42&amp;B$4</f>
        <v>sftp -i p2pstorage.pem ec2-user@172.31.23.103:node/logs/c40-c5-2xlarge_workload.csv</v>
      </c>
    </row>
    <row r="49" spans="2:2" x14ac:dyDescent="0.25">
      <c r="B49" t="str">
        <f>B$2&amp;info!E44&amp;B$3&amp;info!D44&amp;B$4</f>
        <v>sftp -i p2pstorage.pem ec2-user@172.31.29.34:node/logs/c41-c5-4xlarge_workload.csv</v>
      </c>
    </row>
    <row r="50" spans="2:2" x14ac:dyDescent="0.25">
      <c r="B50" t="str">
        <f>B$2&amp;info!E45&amp;B$3&amp;info!D45&amp;B$4</f>
        <v>sftp -i p2pstorage.pem ec2-user@172.31.31.208:node/logs/c42-t2-small_workload.csv</v>
      </c>
    </row>
    <row r="51" spans="2:2" x14ac:dyDescent="0.25">
      <c r="B51" t="str">
        <f>B$2&amp;info!E46&amp;B$3&amp;info!D46&amp;B$4</f>
        <v>sftp -i p2pstorage.pem ec2-user@172.31.19.51:node/logs/c43-t2-small_workload.csv</v>
      </c>
    </row>
    <row r="52" spans="2:2" x14ac:dyDescent="0.25">
      <c r="B52" t="str">
        <f>B$2&amp;info!E47&amp;B$3&amp;info!D47&amp;B$4</f>
        <v>sftp -i p2pstorage.pem ec2-user@172.31.31.54:node/logs/c44-t2-small_workload.csv</v>
      </c>
    </row>
    <row r="53" spans="2:2" x14ac:dyDescent="0.25">
      <c r="B53" t="str">
        <f>B$2&amp;info!E48&amp;B$3&amp;info!D48&amp;B$4</f>
        <v>sftp -i p2pstorage.pem ec2-user@172.31.26.164:node/logs/c45-t2-medium_workload.csv</v>
      </c>
    </row>
    <row r="54" spans="2:2" x14ac:dyDescent="0.25">
      <c r="B54" t="str">
        <f>B$2&amp;info!E49&amp;B$3&amp;info!D49&amp;B$4</f>
        <v>sftp -i p2pstorage.pem ec2-user@172.31.25.233:node/logs/c46-t2-medium_workload.csv</v>
      </c>
    </row>
    <row r="55" spans="2:2" x14ac:dyDescent="0.25">
      <c r="B55" t="str">
        <f>B$2&amp;info!E50&amp;B$3&amp;info!D50&amp;B$4</f>
        <v>sftp -i p2pstorage.pem ec2-user@172.31.22.203:node/logs/c47-t2-medium_workload.csv</v>
      </c>
    </row>
    <row r="56" spans="2:2" x14ac:dyDescent="0.25">
      <c r="B56" t="str">
        <f>B$2&amp;info!E51&amp;B$3&amp;info!D51&amp;B$4</f>
        <v>sftp -i p2pstorage.pem ec2-user@172.31.19.225:node/logs/c48-c5-xlarge_workload.csv</v>
      </c>
    </row>
    <row r="57" spans="2:2" x14ac:dyDescent="0.25">
      <c r="B57" t="str">
        <f>B$2&amp;info!E52&amp;B$3&amp;info!D52&amp;B$4</f>
        <v>sftp -i p2pstorage.pem ec2-user@172.31.26.244:node/logs/c49-c5-xlarge_workload.csv</v>
      </c>
    </row>
    <row r="58" spans="2:2" x14ac:dyDescent="0.25">
      <c r="B58" t="str">
        <f>B$2&amp;info!E53&amp;B$3&amp;info!D53&amp;B$4</f>
        <v>sftp -i p2pstorage.pem ec2-user@172.31.30.61:node/logs/c50-c5-2xlarge_workload.csv</v>
      </c>
    </row>
    <row r="59" spans="2:2" x14ac:dyDescent="0.25">
      <c r="B59" t="str">
        <f>B$2&amp;info!E54&amp;B$3&amp;info!D54&amp;B$4</f>
        <v>sftp -i p2pstorage.pem ec2-user@172.31.29.11:node/logs/c51-c5-4xlarge_workload.csv</v>
      </c>
    </row>
    <row r="60" spans="2:2" x14ac:dyDescent="0.25">
      <c r="B60" t="str">
        <f>B$2&amp;info!E55&amp;B$3&amp;info!D55&amp;B$4</f>
        <v>sftp -i p2pstorage.pem ec2-user@172.31.17.199:node/logs/c52-t2-small_workload.csv</v>
      </c>
    </row>
    <row r="61" spans="2:2" x14ac:dyDescent="0.25">
      <c r="B61" t="str">
        <f>B$2&amp;info!E56&amp;B$3&amp;info!D56&amp;B$4</f>
        <v>sftp -i p2pstorage.pem ec2-user@172.31.26.151:node/logs/c53-t2-small_workload.csv</v>
      </c>
    </row>
    <row r="62" spans="2:2" x14ac:dyDescent="0.25">
      <c r="B62" t="str">
        <f>B$2&amp;info!E57&amp;B$3&amp;info!D57&amp;B$4</f>
        <v>sftp -i p2pstorage.pem ec2-user@172.31.25.77:node/logs/c54-t2-small_workload.csv</v>
      </c>
    </row>
    <row r="63" spans="2:2" x14ac:dyDescent="0.25">
      <c r="B63" t="str">
        <f>B$2&amp;info!E58&amp;B$3&amp;info!D58&amp;B$4</f>
        <v>sftp -i p2pstorage.pem ec2-user@172.31.27.166:node/logs/c55-t2-medium_workload.csv</v>
      </c>
    </row>
    <row r="64" spans="2:2" x14ac:dyDescent="0.25">
      <c r="B64" t="str">
        <f>B$2&amp;info!E59&amp;B$3&amp;info!D59&amp;B$4</f>
        <v>sftp -i p2pstorage.pem ec2-user@172.31.17.98:node/logs/c56-t2-medium_workload.csv</v>
      </c>
    </row>
    <row r="65" spans="2:2" x14ac:dyDescent="0.25">
      <c r="B65" t="str">
        <f>B$2&amp;info!E60&amp;B$3&amp;info!D60&amp;B$4</f>
        <v>sftp -i p2pstorage.pem ec2-user@172.31.27.25:node/logs/c57-t2-medium_workload.csv</v>
      </c>
    </row>
    <row r="66" spans="2:2" x14ac:dyDescent="0.25">
      <c r="B66" t="str">
        <f>B$2&amp;info!E61&amp;B$3&amp;info!D61&amp;B$4</f>
        <v>sftp -i p2pstorage.pem ec2-user@172.31.24.96:node/logs/c58-c5-xlarge_workload.csv</v>
      </c>
    </row>
    <row r="67" spans="2:2" x14ac:dyDescent="0.25">
      <c r="B67" t="str">
        <f>B$2&amp;info!E62&amp;B$3&amp;info!D62&amp;B$4</f>
        <v>sftp -i p2pstorage.pem ec2-user@172.31.22.197:node/logs/c59-c5-xlarge_workload.csv</v>
      </c>
    </row>
    <row r="68" spans="2:2" x14ac:dyDescent="0.25">
      <c r="B68" t="str">
        <f>B$2&amp;info!E63&amp;B$3&amp;info!D63&amp;B$4</f>
        <v>sftp -i p2pstorage.pem ec2-user@172.31.20.108:node/logs/c60-c5-2xlarge_workload.csv</v>
      </c>
    </row>
    <row r="70" spans="2:2" x14ac:dyDescent="0.25">
      <c r="B70" t="str">
        <f>B$2&amp;info!E65&amp;B$3&amp;info!D65&amp;B$4</f>
        <v>sftp -i p2pstorage.pem ec2-user@172.31.27.188:node/logs/c61-c5-4xlarge_workload.csv</v>
      </c>
    </row>
    <row r="71" spans="2:2" x14ac:dyDescent="0.25">
      <c r="B71" t="str">
        <f>B$2&amp;info!E66&amp;B$3&amp;info!D66&amp;B$4</f>
        <v>sftp -i p2pstorage.pem ec2-user@172.31.26.227:node/logs/c62-t2-small_workload.csv</v>
      </c>
    </row>
    <row r="72" spans="2:2" x14ac:dyDescent="0.25">
      <c r="B72" t="str">
        <f>B$2&amp;info!E67&amp;B$3&amp;info!D67&amp;B$4</f>
        <v>sftp -i p2pstorage.pem ec2-user@172.31.19.74:node/logs/c63-t2-small_workload.csv</v>
      </c>
    </row>
    <row r="73" spans="2:2" x14ac:dyDescent="0.25">
      <c r="B73" t="str">
        <f>B$2&amp;info!E68&amp;B$3&amp;info!D68&amp;B$4</f>
        <v>sftp -i p2pstorage.pem ec2-user@172.31.18.89:node/logs/c64-t2-small_workload.csv</v>
      </c>
    </row>
    <row r="74" spans="2:2" x14ac:dyDescent="0.25">
      <c r="B74" t="str">
        <f>B$2&amp;info!E69&amp;B$3&amp;info!D69&amp;B$4</f>
        <v>sftp -i p2pstorage.pem ec2-user@172.31.22.198:node/logs/c65-t2-medium_workload.csv</v>
      </c>
    </row>
    <row r="75" spans="2:2" x14ac:dyDescent="0.25">
      <c r="B75" t="str">
        <f>B$2&amp;info!E70&amp;B$3&amp;info!D70&amp;B$4</f>
        <v>sftp -i p2pstorage.pem ec2-user@172.31.20.6:node/logs/c66-t2-medium_workload.csv</v>
      </c>
    </row>
    <row r="76" spans="2:2" x14ac:dyDescent="0.25">
      <c r="B76" t="str">
        <f>B$2&amp;info!E71&amp;B$3&amp;info!D71&amp;B$4</f>
        <v>sftp -i p2pstorage.pem ec2-user@172.31.24.234:node/logs/c67-t2-medium_workload.csv</v>
      </c>
    </row>
    <row r="77" spans="2:2" x14ac:dyDescent="0.25">
      <c r="B77" t="str">
        <f>B$2&amp;info!E72&amp;B$3&amp;info!D72&amp;B$4</f>
        <v>sftp -i p2pstorage.pem ec2-user@172.31.16.123:node/logs/c68-c5-xlarge_workload.csv</v>
      </c>
    </row>
    <row r="78" spans="2:2" x14ac:dyDescent="0.25">
      <c r="B78" t="str">
        <f>B$2&amp;info!E73&amp;B$3&amp;info!D73&amp;B$4</f>
        <v>sftp -i p2pstorage.pem ec2-user@172.31.22.139:node/logs/c69-c5-xlarge_workload.csv</v>
      </c>
    </row>
    <row r="79" spans="2:2" x14ac:dyDescent="0.25">
      <c r="B79" t="str">
        <f>B$2&amp;info!E74&amp;B$3&amp;info!D74&amp;B$4</f>
        <v>sftp -i p2pstorage.pem ec2-user@172.31.29.152:node/logs/c70-c5-2xlarge_workload.csv</v>
      </c>
    </row>
    <row r="80" spans="2:2" x14ac:dyDescent="0.25">
      <c r="B80" t="str">
        <f>B$2&amp;info!E75&amp;B$3&amp;info!D75&amp;B$4</f>
        <v>sftp -i p2pstorage.pem ec2-user@172.31.28.114:node/logs/c71-c5-4xlarge_workload.csv</v>
      </c>
    </row>
    <row r="81" spans="2:2" x14ac:dyDescent="0.25">
      <c r="B81" t="str">
        <f>B$2&amp;info!E76&amp;B$3&amp;info!D76&amp;B$4</f>
        <v>sftp -i p2pstorage.pem ec2-user@172.31.26.46:node/logs/c72-t2-small_workload.csv</v>
      </c>
    </row>
    <row r="82" spans="2:2" x14ac:dyDescent="0.25">
      <c r="B82" t="str">
        <f>B$2&amp;info!E77&amp;B$3&amp;info!D77&amp;B$4</f>
        <v>sftp -i p2pstorage.pem ec2-user@172.31.17.17:node/logs/c73-t2-small_workload.csv</v>
      </c>
    </row>
    <row r="83" spans="2:2" x14ac:dyDescent="0.25">
      <c r="B83" t="str">
        <f>B$2&amp;info!E78&amp;B$3&amp;info!D78&amp;B$4</f>
        <v>sftp -i p2pstorage.pem ec2-user@172.31.24.201:node/logs/c74-t2-small_workload.csv</v>
      </c>
    </row>
    <row r="84" spans="2:2" x14ac:dyDescent="0.25">
      <c r="B84" t="str">
        <f>B$2&amp;info!E79&amp;B$3&amp;info!D79&amp;B$4</f>
        <v>sftp -i p2pstorage.pem ec2-user@172.31.19.18:node/logs/c75-t2-medium_workload.csv</v>
      </c>
    </row>
    <row r="85" spans="2:2" x14ac:dyDescent="0.25">
      <c r="B85" t="str">
        <f>B$2&amp;info!E80&amp;B$3&amp;info!D80&amp;B$4</f>
        <v>sftp -i p2pstorage.pem ec2-user@172.31.21.225:node/logs/c76-t2-medium_workload.csv</v>
      </c>
    </row>
    <row r="86" spans="2:2" x14ac:dyDescent="0.25">
      <c r="B86" t="str">
        <f>B$2&amp;info!E81&amp;B$3&amp;info!D81&amp;B$4</f>
        <v>sftp -i p2pstorage.pem ec2-user@172.31.16.19:node/logs/c77-t2-medium_workload.csv</v>
      </c>
    </row>
    <row r="87" spans="2:2" x14ac:dyDescent="0.25">
      <c r="B87" t="str">
        <f>B$2&amp;info!E82&amp;B$3&amp;info!D82&amp;B$4</f>
        <v>sftp -i p2pstorage.pem ec2-user@172.31.18.160:node/logs/c78-c5-xlarge_workload.csv</v>
      </c>
    </row>
    <row r="88" spans="2:2" x14ac:dyDescent="0.25">
      <c r="B88" t="str">
        <f>B$2&amp;info!E83&amp;B$3&amp;info!D83&amp;B$4</f>
        <v>sftp -i p2pstorage.pem ec2-user@172.31.31.237:node/logs/c79-c5-xlarge_workload.csv</v>
      </c>
    </row>
    <row r="89" spans="2:2" x14ac:dyDescent="0.25">
      <c r="B89" t="str">
        <f>B$2&amp;info!E84&amp;B$3&amp;info!D84&amp;B$4</f>
        <v>sftp -i p2pstorage.pem ec2-user@172.31.16.236:node/logs/c80-c5-2xlarge_workload.csv</v>
      </c>
    </row>
    <row r="91" spans="2:2" x14ac:dyDescent="0.25">
      <c r="B91" t="str">
        <f>B$2&amp;info!E86&amp;B$3&amp;info!D86&amp;B$4</f>
        <v>sftp -i p2pstorage.pem ec2-user@172.31.29.142:node/logs/c81-c5-4xlarge_workload.csv</v>
      </c>
    </row>
    <row r="92" spans="2:2" x14ac:dyDescent="0.25">
      <c r="B92" t="str">
        <f>B$2&amp;info!E87&amp;B$3&amp;info!D87&amp;B$4</f>
        <v>sftp -i p2pstorage.pem ec2-user@172.31.20.77:node/logs/c82-t2-small_workload.csv</v>
      </c>
    </row>
    <row r="93" spans="2:2" x14ac:dyDescent="0.25">
      <c r="B93" t="str">
        <f>B$2&amp;info!E88&amp;B$3&amp;info!D88&amp;B$4</f>
        <v>sftp -i p2pstorage.pem ec2-user@172.31.20.25:node/logs/c83-t2-small_workload.csv</v>
      </c>
    </row>
    <row r="94" spans="2:2" x14ac:dyDescent="0.25">
      <c r="B94" t="str">
        <f>B$2&amp;info!E89&amp;B$3&amp;info!D89&amp;B$4</f>
        <v>sftp -i p2pstorage.pem ec2-user@172.31.19.239:node/logs/c84-t2-small_workload.csv</v>
      </c>
    </row>
    <row r="95" spans="2:2" x14ac:dyDescent="0.25">
      <c r="B95" t="str">
        <f>B$2&amp;info!E90&amp;B$3&amp;info!D90&amp;B$4</f>
        <v>sftp -i p2pstorage.pem ec2-user@172.31.23.251:node/logs/c85-t2-medium_workload.csv</v>
      </c>
    </row>
    <row r="96" spans="2:2" x14ac:dyDescent="0.25">
      <c r="B96" t="str">
        <f>B$2&amp;info!E91&amp;B$3&amp;info!D91&amp;B$4</f>
        <v>sftp -i p2pstorage.pem ec2-user@172.31.16.43:node/logs/c86-t2-medium_workload.csv</v>
      </c>
    </row>
    <row r="97" spans="2:2" x14ac:dyDescent="0.25">
      <c r="B97" t="str">
        <f>B$2&amp;info!E92&amp;B$3&amp;info!D92&amp;B$4</f>
        <v>sftp -i p2pstorage.pem ec2-user@172.31.21.110:node/logs/c87-t2-medium_workload.csv</v>
      </c>
    </row>
    <row r="98" spans="2:2" x14ac:dyDescent="0.25">
      <c r="B98" t="str">
        <f>B$2&amp;info!E93&amp;B$3&amp;info!D93&amp;B$4</f>
        <v>sftp -i p2pstorage.pem ec2-user@172.31.24.55:node/logs/c88-c5-xlarge_workload.csv</v>
      </c>
    </row>
    <row r="99" spans="2:2" x14ac:dyDescent="0.25">
      <c r="B99" t="str">
        <f>B$2&amp;info!E94&amp;B$3&amp;info!D94&amp;B$4</f>
        <v>sftp -i p2pstorage.pem ec2-user@172.31.31.148:node/logs/c89-c5-xlarge_workload.csv</v>
      </c>
    </row>
    <row r="100" spans="2:2" x14ac:dyDescent="0.25">
      <c r="B100" t="str">
        <f>B$2&amp;info!E95&amp;B$3&amp;info!D95&amp;B$4</f>
        <v>sftp -i p2pstorage.pem ec2-user@172.31.25.125:node/logs/c90-c5-2xlarge_workload.csv</v>
      </c>
    </row>
    <row r="101" spans="2:2" x14ac:dyDescent="0.25">
      <c r="B101" t="str">
        <f>B$2&amp;info!E96&amp;B$3&amp;info!D96&amp;B$4</f>
        <v>sftp -i p2pstorage.pem ec2-user@172.31.22.253:node/logs/c91-c5-4xlarge_workload.csv</v>
      </c>
    </row>
    <row r="102" spans="2:2" x14ac:dyDescent="0.25">
      <c r="B102" t="str">
        <f>B$2&amp;info!E97&amp;B$3&amp;info!D97&amp;B$4</f>
        <v>sftp -i p2pstorage.pem ec2-user@172.31.20.255:node/logs/c92-t2-small_workload.csv</v>
      </c>
    </row>
    <row r="103" spans="2:2" x14ac:dyDescent="0.25">
      <c r="B103" t="str">
        <f>B$2&amp;info!E98&amp;B$3&amp;info!D98&amp;B$4</f>
        <v>sftp -i p2pstorage.pem ec2-user@172.31.18.234:node/logs/c93-t2-small_workload.csv</v>
      </c>
    </row>
    <row r="104" spans="2:2" x14ac:dyDescent="0.25">
      <c r="B104" t="str">
        <f>B$2&amp;info!E99&amp;B$3&amp;info!D99&amp;B$4</f>
        <v>sftp -i p2pstorage.pem ec2-user@172.31.29.186:node/logs/c94-t2-small_workload.csv</v>
      </c>
    </row>
    <row r="105" spans="2:2" x14ac:dyDescent="0.25">
      <c r="B105" t="str">
        <f>B$2&amp;info!E100&amp;B$3&amp;info!D100&amp;B$4</f>
        <v>sftp -i p2pstorage.pem ec2-user@172.31.31.15:node/logs/c95-t2-medium_workload.csv</v>
      </c>
    </row>
    <row r="106" spans="2:2" x14ac:dyDescent="0.25">
      <c r="B106" t="str">
        <f>B$2&amp;info!E101&amp;B$3&amp;info!D101&amp;B$4</f>
        <v>sftp -i p2pstorage.pem ec2-user@172.31.25.144:node/logs/c96-t2-medium_workload.csv</v>
      </c>
    </row>
    <row r="107" spans="2:2" x14ac:dyDescent="0.25">
      <c r="B107" t="str">
        <f>B$2&amp;info!E102&amp;B$3&amp;info!D102&amp;B$4</f>
        <v>sftp -i p2pstorage.pem ec2-user@172.31.20.104:node/logs/c97-t2-medium_workload.csv</v>
      </c>
    </row>
    <row r="108" spans="2:2" x14ac:dyDescent="0.25">
      <c r="B108" t="str">
        <f>B$2&amp;info!E103&amp;B$3&amp;info!D103&amp;B$4</f>
        <v>sftp -i p2pstorage.pem ec2-user@172.31.25.100:node/logs/c98-c5-xlarge_workload.csv</v>
      </c>
    </row>
    <row r="109" spans="2:2" x14ac:dyDescent="0.25">
      <c r="B109" t="str">
        <f>B$2&amp;info!E104&amp;B$3&amp;info!D104&amp;B$4</f>
        <v>sftp -i p2pstorage.pem ec2-user@172.31.25.167:node/logs/c99-c5-xlarge_workload.csv</v>
      </c>
    </row>
    <row r="110" spans="2:2" x14ac:dyDescent="0.25">
      <c r="B110" t="str">
        <f>B$2&amp;info!E105&amp;B$3&amp;info!D105&amp;B$4</f>
        <v>sftp -i p2pstorage.pem ec2-user@172.31.28.55:node/logs/c100-c5-2xlarge_workload.csv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1F32-53AF-4316-B68F-46C9F4843266}">
  <dimension ref="A2:F105"/>
  <sheetViews>
    <sheetView topLeftCell="A79" workbookViewId="0">
      <selection activeCell="F44" sqref="F44:F105"/>
    </sheetView>
  </sheetViews>
  <sheetFormatPr defaultRowHeight="15" x14ac:dyDescent="0.25"/>
  <cols>
    <col min="3" max="4" width="14.5703125" bestFit="1" customWidth="1"/>
    <col min="5" max="5" width="14.7109375" customWidth="1"/>
    <col min="6" max="6" width="33.42578125" customWidth="1"/>
  </cols>
  <sheetData>
    <row r="2" spans="1:6" x14ac:dyDescent="0.25">
      <c r="B2" s="2" t="s">
        <v>93</v>
      </c>
      <c r="C2" t="s">
        <v>8</v>
      </c>
      <c r="D2" t="str">
        <f>"c"&amp;B2&amp;"-"&amp;C2</f>
        <v>c01-t2-small</v>
      </c>
      <c r="E2" t="s">
        <v>102</v>
      </c>
      <c r="F2" t="s">
        <v>147</v>
      </c>
    </row>
    <row r="3" spans="1:6" x14ac:dyDescent="0.25">
      <c r="B3" s="2" t="s">
        <v>94</v>
      </c>
      <c r="C3" t="s">
        <v>8</v>
      </c>
      <c r="D3" t="str">
        <f t="shared" ref="D3:D21" si="0">"c"&amp;B3&amp;"-"&amp;C3</f>
        <v>c02-t2-small</v>
      </c>
      <c r="E3" t="s">
        <v>103</v>
      </c>
      <c r="F3" t="s">
        <v>146</v>
      </c>
    </row>
    <row r="4" spans="1:6" x14ac:dyDescent="0.25">
      <c r="B4" s="2" t="s">
        <v>95</v>
      </c>
      <c r="C4" t="s">
        <v>9</v>
      </c>
      <c r="D4" t="str">
        <f t="shared" si="0"/>
        <v>c03-t2-medium</v>
      </c>
      <c r="E4" t="s">
        <v>104</v>
      </c>
      <c r="F4" t="s">
        <v>146</v>
      </c>
    </row>
    <row r="5" spans="1:6" x14ac:dyDescent="0.25">
      <c r="A5" t="s">
        <v>13</v>
      </c>
      <c r="B5" s="2" t="s">
        <v>96</v>
      </c>
      <c r="C5" t="s">
        <v>9</v>
      </c>
      <c r="D5" t="str">
        <f t="shared" si="0"/>
        <v>c04-t2-medium</v>
      </c>
      <c r="E5" t="s">
        <v>105</v>
      </c>
      <c r="F5" t="s">
        <v>146</v>
      </c>
    </row>
    <row r="6" spans="1:6" x14ac:dyDescent="0.25">
      <c r="B6" s="2" t="s">
        <v>97</v>
      </c>
      <c r="C6" t="s">
        <v>10</v>
      </c>
      <c r="D6" t="str">
        <f t="shared" si="0"/>
        <v>c05-t2-large</v>
      </c>
      <c r="E6" t="s">
        <v>106</v>
      </c>
      <c r="F6" t="s">
        <v>146</v>
      </c>
    </row>
    <row r="7" spans="1:6" x14ac:dyDescent="0.25">
      <c r="B7" s="2" t="s">
        <v>98</v>
      </c>
      <c r="C7" t="s">
        <v>10</v>
      </c>
      <c r="D7" t="str">
        <f t="shared" si="0"/>
        <v>c06-t2-large</v>
      </c>
      <c r="E7" t="s">
        <v>107</v>
      </c>
      <c r="F7" t="s">
        <v>146</v>
      </c>
    </row>
    <row r="8" spans="1:6" x14ac:dyDescent="0.25">
      <c r="B8" s="2" t="s">
        <v>99</v>
      </c>
      <c r="C8" t="s">
        <v>11</v>
      </c>
      <c r="D8" t="str">
        <f t="shared" si="0"/>
        <v>c07-t3-small</v>
      </c>
      <c r="E8" t="s">
        <v>108</v>
      </c>
      <c r="F8" t="s">
        <v>146</v>
      </c>
    </row>
    <row r="9" spans="1:6" x14ac:dyDescent="0.25">
      <c r="B9" s="2" t="s">
        <v>100</v>
      </c>
      <c r="C9" t="s">
        <v>11</v>
      </c>
      <c r="D9" t="str">
        <f t="shared" si="0"/>
        <v>c08-t3-small</v>
      </c>
      <c r="E9" t="s">
        <v>109</v>
      </c>
      <c r="F9" t="s">
        <v>146</v>
      </c>
    </row>
    <row r="10" spans="1:6" x14ac:dyDescent="0.25">
      <c r="B10" s="2" t="s">
        <v>101</v>
      </c>
      <c r="C10" t="s">
        <v>12</v>
      </c>
      <c r="D10" t="str">
        <f t="shared" si="0"/>
        <v>c09-t3-medium</v>
      </c>
      <c r="E10" t="s">
        <v>110</v>
      </c>
      <c r="F10" t="s">
        <v>146</v>
      </c>
    </row>
    <row r="11" spans="1:6" x14ac:dyDescent="0.25">
      <c r="B11">
        <v>10</v>
      </c>
      <c r="C11" t="s">
        <v>12</v>
      </c>
      <c r="D11" t="str">
        <f t="shared" si="0"/>
        <v>c10-t3-medium</v>
      </c>
      <c r="E11" t="s">
        <v>111</v>
      </c>
      <c r="F11" t="s">
        <v>146</v>
      </c>
    </row>
    <row r="12" spans="1:6" x14ac:dyDescent="0.25">
      <c r="B12">
        <v>11</v>
      </c>
      <c r="C12" t="s">
        <v>8</v>
      </c>
      <c r="D12" t="str">
        <f t="shared" si="0"/>
        <v>c11-t2-small</v>
      </c>
      <c r="E12" t="s">
        <v>112</v>
      </c>
      <c r="F12" t="s">
        <v>146</v>
      </c>
    </row>
    <row r="13" spans="1:6" x14ac:dyDescent="0.25">
      <c r="B13">
        <v>12</v>
      </c>
      <c r="C13" t="s">
        <v>8</v>
      </c>
      <c r="D13" t="str">
        <f t="shared" si="0"/>
        <v>c12-t2-small</v>
      </c>
      <c r="E13" t="s">
        <v>113</v>
      </c>
      <c r="F13" t="s">
        <v>146</v>
      </c>
    </row>
    <row r="14" spans="1:6" x14ac:dyDescent="0.25">
      <c r="B14">
        <v>13</v>
      </c>
      <c r="C14" t="s">
        <v>9</v>
      </c>
      <c r="D14" t="str">
        <f t="shared" si="0"/>
        <v>c13-t2-medium</v>
      </c>
      <c r="E14" t="s">
        <v>114</v>
      </c>
      <c r="F14" t="s">
        <v>146</v>
      </c>
    </row>
    <row r="15" spans="1:6" x14ac:dyDescent="0.25">
      <c r="B15">
        <v>14</v>
      </c>
      <c r="C15" t="s">
        <v>9</v>
      </c>
      <c r="D15" t="str">
        <f t="shared" si="0"/>
        <v>c14-t2-medium</v>
      </c>
      <c r="E15" t="s">
        <v>115</v>
      </c>
      <c r="F15" t="s">
        <v>146</v>
      </c>
    </row>
    <row r="16" spans="1:6" x14ac:dyDescent="0.25">
      <c r="B16">
        <v>15</v>
      </c>
      <c r="C16" t="s">
        <v>10</v>
      </c>
      <c r="D16" t="str">
        <f t="shared" si="0"/>
        <v>c15-t2-large</v>
      </c>
      <c r="E16" t="s">
        <v>116</v>
      </c>
      <c r="F16" t="s">
        <v>146</v>
      </c>
    </row>
    <row r="17" spans="2:6" x14ac:dyDescent="0.25">
      <c r="B17">
        <v>16</v>
      </c>
      <c r="C17" t="s">
        <v>10</v>
      </c>
      <c r="D17" t="str">
        <f t="shared" si="0"/>
        <v>c16-t2-large</v>
      </c>
      <c r="E17" t="s">
        <v>117</v>
      </c>
      <c r="F17" t="s">
        <v>146</v>
      </c>
    </row>
    <row r="18" spans="2:6" x14ac:dyDescent="0.25">
      <c r="B18">
        <v>17</v>
      </c>
      <c r="C18" t="s">
        <v>11</v>
      </c>
      <c r="D18" t="str">
        <f t="shared" si="0"/>
        <v>c17-t3-small</v>
      </c>
      <c r="E18" t="s">
        <v>118</v>
      </c>
      <c r="F18" t="s">
        <v>146</v>
      </c>
    </row>
    <row r="19" spans="2:6" x14ac:dyDescent="0.25">
      <c r="B19">
        <v>18</v>
      </c>
      <c r="C19" t="s">
        <v>11</v>
      </c>
      <c r="D19" t="str">
        <f t="shared" si="0"/>
        <v>c18-t3-small</v>
      </c>
      <c r="E19" t="s">
        <v>148</v>
      </c>
      <c r="F19" t="s">
        <v>146</v>
      </c>
    </row>
    <row r="20" spans="2:6" x14ac:dyDescent="0.25">
      <c r="B20">
        <v>19</v>
      </c>
      <c r="C20" t="s">
        <v>12</v>
      </c>
      <c r="D20" t="str">
        <f t="shared" si="0"/>
        <v>c19-t3-medium</v>
      </c>
      <c r="E20" t="s">
        <v>119</v>
      </c>
      <c r="F20" t="s">
        <v>146</v>
      </c>
    </row>
    <row r="21" spans="2:6" x14ac:dyDescent="0.25">
      <c r="B21">
        <v>20</v>
      </c>
      <c r="C21" t="s">
        <v>12</v>
      </c>
      <c r="D21" t="str">
        <f t="shared" si="0"/>
        <v>c20-t3-medium</v>
      </c>
      <c r="E21" t="s">
        <v>120</v>
      </c>
      <c r="F21" t="s">
        <v>146</v>
      </c>
    </row>
    <row r="23" spans="2:6" x14ac:dyDescent="0.25">
      <c r="B23">
        <v>21</v>
      </c>
      <c r="C23" t="s">
        <v>8</v>
      </c>
      <c r="D23" t="str">
        <f>"c"&amp;B23&amp;"-"&amp;C23</f>
        <v>c21-t2-small</v>
      </c>
      <c r="E23" t="s">
        <v>121</v>
      </c>
      <c r="F23" t="s">
        <v>146</v>
      </c>
    </row>
    <row r="24" spans="2:6" x14ac:dyDescent="0.25">
      <c r="B24">
        <v>22</v>
      </c>
      <c r="C24" t="s">
        <v>8</v>
      </c>
      <c r="D24" t="str">
        <f t="shared" ref="D24:D42" si="1">"c"&amp;B24&amp;"-"&amp;C24</f>
        <v>c22-t2-small</v>
      </c>
      <c r="E24" t="s">
        <v>122</v>
      </c>
      <c r="F24" t="s">
        <v>146</v>
      </c>
    </row>
    <row r="25" spans="2:6" x14ac:dyDescent="0.25">
      <c r="B25">
        <v>23</v>
      </c>
      <c r="C25" t="s">
        <v>9</v>
      </c>
      <c r="D25" t="str">
        <f t="shared" si="1"/>
        <v>c23-t2-medium</v>
      </c>
      <c r="E25" t="s">
        <v>123</v>
      </c>
      <c r="F25" t="s">
        <v>146</v>
      </c>
    </row>
    <row r="26" spans="2:6" x14ac:dyDescent="0.25">
      <c r="B26">
        <v>24</v>
      </c>
      <c r="C26" t="s">
        <v>9</v>
      </c>
      <c r="D26" t="str">
        <f t="shared" si="1"/>
        <v>c24-t2-medium</v>
      </c>
      <c r="E26" t="s">
        <v>124</v>
      </c>
      <c r="F26" t="s">
        <v>146</v>
      </c>
    </row>
    <row r="27" spans="2:6" x14ac:dyDescent="0.25">
      <c r="B27">
        <v>25</v>
      </c>
      <c r="C27" t="s">
        <v>10</v>
      </c>
      <c r="D27" t="str">
        <f t="shared" si="1"/>
        <v>c25-t2-large</v>
      </c>
      <c r="E27" t="s">
        <v>125</v>
      </c>
      <c r="F27" t="s">
        <v>146</v>
      </c>
    </row>
    <row r="28" spans="2:6" x14ac:dyDescent="0.25">
      <c r="B28">
        <v>26</v>
      </c>
      <c r="C28" t="s">
        <v>10</v>
      </c>
      <c r="D28" t="str">
        <f t="shared" si="1"/>
        <v>c26-t2-large</v>
      </c>
      <c r="E28" t="s">
        <v>126</v>
      </c>
      <c r="F28" t="s">
        <v>146</v>
      </c>
    </row>
    <row r="29" spans="2:6" x14ac:dyDescent="0.25">
      <c r="B29">
        <v>27</v>
      </c>
      <c r="C29" t="s">
        <v>11</v>
      </c>
      <c r="D29" t="str">
        <f t="shared" si="1"/>
        <v>c27-t3-small</v>
      </c>
      <c r="E29" t="s">
        <v>127</v>
      </c>
      <c r="F29" t="s">
        <v>146</v>
      </c>
    </row>
    <row r="30" spans="2:6" x14ac:dyDescent="0.25">
      <c r="B30">
        <v>28</v>
      </c>
      <c r="C30" t="s">
        <v>11</v>
      </c>
      <c r="D30" t="str">
        <f t="shared" si="1"/>
        <v>c28-t3-small</v>
      </c>
      <c r="E30" t="s">
        <v>128</v>
      </c>
      <c r="F30" t="s">
        <v>146</v>
      </c>
    </row>
    <row r="31" spans="2:6" x14ac:dyDescent="0.25">
      <c r="B31">
        <v>29</v>
      </c>
      <c r="C31" t="s">
        <v>12</v>
      </c>
      <c r="D31" t="str">
        <f t="shared" si="1"/>
        <v>c29-t3-medium</v>
      </c>
      <c r="E31" t="s">
        <v>129</v>
      </c>
      <c r="F31" t="s">
        <v>146</v>
      </c>
    </row>
    <row r="32" spans="2:6" x14ac:dyDescent="0.25">
      <c r="B32">
        <v>30</v>
      </c>
      <c r="C32" t="s">
        <v>12</v>
      </c>
      <c r="D32" t="str">
        <f t="shared" si="1"/>
        <v>c30-t3-medium</v>
      </c>
      <c r="E32" t="s">
        <v>130</v>
      </c>
      <c r="F32" t="s">
        <v>146</v>
      </c>
    </row>
    <row r="33" spans="2:6" x14ac:dyDescent="0.25">
      <c r="B33">
        <v>31</v>
      </c>
      <c r="C33" t="s">
        <v>8</v>
      </c>
      <c r="D33" t="str">
        <f t="shared" si="1"/>
        <v>c31-t2-small</v>
      </c>
      <c r="E33" t="s">
        <v>131</v>
      </c>
      <c r="F33" t="s">
        <v>146</v>
      </c>
    </row>
    <row r="34" spans="2:6" x14ac:dyDescent="0.25">
      <c r="B34">
        <v>32</v>
      </c>
      <c r="C34" t="s">
        <v>8</v>
      </c>
      <c r="D34" t="str">
        <f t="shared" si="1"/>
        <v>c32-t2-small</v>
      </c>
      <c r="E34" t="s">
        <v>132</v>
      </c>
      <c r="F34" t="s">
        <v>146</v>
      </c>
    </row>
    <row r="35" spans="2:6" x14ac:dyDescent="0.25">
      <c r="B35">
        <v>33</v>
      </c>
      <c r="C35" t="s">
        <v>9</v>
      </c>
      <c r="D35" t="str">
        <f t="shared" si="1"/>
        <v>c33-t2-medium</v>
      </c>
      <c r="E35" t="s">
        <v>133</v>
      </c>
      <c r="F35" t="s">
        <v>146</v>
      </c>
    </row>
    <row r="36" spans="2:6" x14ac:dyDescent="0.25">
      <c r="B36">
        <v>34</v>
      </c>
      <c r="C36" t="s">
        <v>9</v>
      </c>
      <c r="D36" t="str">
        <f t="shared" si="1"/>
        <v>c34-t2-medium</v>
      </c>
      <c r="E36" t="s">
        <v>134</v>
      </c>
      <c r="F36" t="s">
        <v>146</v>
      </c>
    </row>
    <row r="37" spans="2:6" x14ac:dyDescent="0.25">
      <c r="B37">
        <v>35</v>
      </c>
      <c r="C37" t="s">
        <v>10</v>
      </c>
      <c r="D37" t="str">
        <f t="shared" si="1"/>
        <v>c35-t2-large</v>
      </c>
      <c r="E37" t="s">
        <v>135</v>
      </c>
      <c r="F37" t="s">
        <v>146</v>
      </c>
    </row>
    <row r="38" spans="2:6" x14ac:dyDescent="0.25">
      <c r="B38">
        <v>36</v>
      </c>
      <c r="C38" t="s">
        <v>10</v>
      </c>
      <c r="D38" t="str">
        <f t="shared" si="1"/>
        <v>c36-t2-large</v>
      </c>
      <c r="E38" t="s">
        <v>136</v>
      </c>
      <c r="F38" t="s">
        <v>146</v>
      </c>
    </row>
    <row r="39" spans="2:6" x14ac:dyDescent="0.25">
      <c r="B39">
        <v>37</v>
      </c>
      <c r="C39" t="s">
        <v>11</v>
      </c>
      <c r="D39" t="str">
        <f t="shared" si="1"/>
        <v>c37-t3-small</v>
      </c>
      <c r="E39" t="s">
        <v>137</v>
      </c>
      <c r="F39" t="s">
        <v>146</v>
      </c>
    </row>
    <row r="40" spans="2:6" x14ac:dyDescent="0.25">
      <c r="B40">
        <v>38</v>
      </c>
      <c r="C40" t="s">
        <v>11</v>
      </c>
      <c r="D40" t="str">
        <f t="shared" si="1"/>
        <v>c38-t3-small</v>
      </c>
      <c r="E40" t="s">
        <v>139</v>
      </c>
      <c r="F40" t="s">
        <v>146</v>
      </c>
    </row>
    <row r="41" spans="2:6" x14ac:dyDescent="0.25">
      <c r="B41">
        <v>39</v>
      </c>
      <c r="C41" t="s">
        <v>12</v>
      </c>
      <c r="D41" t="str">
        <f t="shared" si="1"/>
        <v>c39-t3-medium</v>
      </c>
      <c r="E41" t="s">
        <v>138</v>
      </c>
      <c r="F41" t="s">
        <v>146</v>
      </c>
    </row>
    <row r="42" spans="2:6" x14ac:dyDescent="0.25">
      <c r="B42">
        <v>40</v>
      </c>
      <c r="C42" t="s">
        <v>12</v>
      </c>
      <c r="D42" t="str">
        <f t="shared" si="1"/>
        <v>c40-t3-medium</v>
      </c>
      <c r="E42" t="s">
        <v>140</v>
      </c>
      <c r="F42" t="s">
        <v>146</v>
      </c>
    </row>
    <row r="44" spans="2:6" x14ac:dyDescent="0.25">
      <c r="B44">
        <v>41</v>
      </c>
      <c r="C44" t="s">
        <v>8</v>
      </c>
      <c r="D44" t="str">
        <f>"c"&amp;B44&amp;"-"&amp;C44</f>
        <v>c41-t2-small</v>
      </c>
      <c r="E44" t="s">
        <v>14</v>
      </c>
      <c r="F44" t="s">
        <v>36</v>
      </c>
    </row>
    <row r="45" spans="2:6" x14ac:dyDescent="0.25">
      <c r="B45">
        <v>42</v>
      </c>
      <c r="C45" t="s">
        <v>8</v>
      </c>
      <c r="D45" t="str">
        <f t="shared" ref="D45:D63" si="2">"c"&amp;B45&amp;"-"&amp;C45</f>
        <v>c42-t2-small</v>
      </c>
      <c r="E45" t="s">
        <v>15</v>
      </c>
      <c r="F45" t="s">
        <v>36</v>
      </c>
    </row>
    <row r="46" spans="2:6" x14ac:dyDescent="0.25">
      <c r="B46">
        <v>43</v>
      </c>
      <c r="C46" t="s">
        <v>9</v>
      </c>
      <c r="D46" t="str">
        <f t="shared" si="2"/>
        <v>c43-t2-medium</v>
      </c>
      <c r="E46" t="s">
        <v>16</v>
      </c>
      <c r="F46" t="s">
        <v>36</v>
      </c>
    </row>
    <row r="47" spans="2:6" x14ac:dyDescent="0.25">
      <c r="B47">
        <v>44</v>
      </c>
      <c r="C47" t="s">
        <v>9</v>
      </c>
      <c r="D47" t="str">
        <f t="shared" si="2"/>
        <v>c44-t2-medium</v>
      </c>
      <c r="E47" t="s">
        <v>17</v>
      </c>
      <c r="F47" t="s">
        <v>36</v>
      </c>
    </row>
    <row r="48" spans="2:6" x14ac:dyDescent="0.25">
      <c r="B48">
        <v>45</v>
      </c>
      <c r="C48" t="s">
        <v>10</v>
      </c>
      <c r="D48" t="str">
        <f t="shared" si="2"/>
        <v>c45-t2-large</v>
      </c>
      <c r="E48" t="s">
        <v>18</v>
      </c>
      <c r="F48" t="s">
        <v>36</v>
      </c>
    </row>
    <row r="49" spans="2:6" x14ac:dyDescent="0.25">
      <c r="B49">
        <v>46</v>
      </c>
      <c r="C49" t="s">
        <v>10</v>
      </c>
      <c r="D49" t="str">
        <f t="shared" si="2"/>
        <v>c46-t2-large</v>
      </c>
      <c r="E49" t="s">
        <v>19</v>
      </c>
      <c r="F49" t="s">
        <v>36</v>
      </c>
    </row>
    <row r="50" spans="2:6" x14ac:dyDescent="0.25">
      <c r="B50">
        <v>47</v>
      </c>
      <c r="C50" t="s">
        <v>11</v>
      </c>
      <c r="D50" t="str">
        <f t="shared" si="2"/>
        <v>c47-t3-small</v>
      </c>
      <c r="E50" t="s">
        <v>20</v>
      </c>
      <c r="F50" t="s">
        <v>36</v>
      </c>
    </row>
    <row r="51" spans="2:6" x14ac:dyDescent="0.25">
      <c r="B51">
        <v>48</v>
      </c>
      <c r="C51" t="s">
        <v>11</v>
      </c>
      <c r="D51" t="str">
        <f t="shared" si="2"/>
        <v>c48-t3-small</v>
      </c>
      <c r="E51" t="s">
        <v>21</v>
      </c>
      <c r="F51" t="s">
        <v>36</v>
      </c>
    </row>
    <row r="52" spans="2:6" x14ac:dyDescent="0.25">
      <c r="B52">
        <v>49</v>
      </c>
      <c r="C52" t="s">
        <v>12</v>
      </c>
      <c r="D52" t="str">
        <f t="shared" si="2"/>
        <v>c49-t3-medium</v>
      </c>
      <c r="E52" t="s">
        <v>22</v>
      </c>
      <c r="F52" t="s">
        <v>36</v>
      </c>
    </row>
    <row r="53" spans="2:6" x14ac:dyDescent="0.25">
      <c r="B53">
        <v>50</v>
      </c>
      <c r="C53" t="s">
        <v>12</v>
      </c>
      <c r="D53" t="str">
        <f t="shared" si="2"/>
        <v>c50-t3-medium</v>
      </c>
      <c r="E53" t="s">
        <v>23</v>
      </c>
      <c r="F53" t="s">
        <v>36</v>
      </c>
    </row>
    <row r="54" spans="2:6" x14ac:dyDescent="0.25">
      <c r="B54">
        <v>51</v>
      </c>
      <c r="C54" t="s">
        <v>8</v>
      </c>
      <c r="D54" t="str">
        <f t="shared" si="2"/>
        <v>c51-t2-small</v>
      </c>
      <c r="E54" t="s">
        <v>24</v>
      </c>
      <c r="F54" t="s">
        <v>38</v>
      </c>
    </row>
    <row r="55" spans="2:6" x14ac:dyDescent="0.25">
      <c r="B55">
        <v>52</v>
      </c>
      <c r="C55" t="s">
        <v>8</v>
      </c>
      <c r="D55" t="str">
        <f t="shared" si="2"/>
        <v>c52-t2-small</v>
      </c>
      <c r="E55" t="s">
        <v>25</v>
      </c>
      <c r="F55" t="s">
        <v>38</v>
      </c>
    </row>
    <row r="56" spans="2:6" x14ac:dyDescent="0.25">
      <c r="B56">
        <v>53</v>
      </c>
      <c r="C56" t="s">
        <v>9</v>
      </c>
      <c r="D56" t="str">
        <f t="shared" si="2"/>
        <v>c53-t2-medium</v>
      </c>
      <c r="E56" t="s">
        <v>26</v>
      </c>
      <c r="F56" t="s">
        <v>38</v>
      </c>
    </row>
    <row r="57" spans="2:6" x14ac:dyDescent="0.25">
      <c r="B57">
        <v>54</v>
      </c>
      <c r="C57" t="s">
        <v>9</v>
      </c>
      <c r="D57" t="str">
        <f t="shared" si="2"/>
        <v>c54-t2-medium</v>
      </c>
      <c r="E57" t="s">
        <v>27</v>
      </c>
      <c r="F57" t="s">
        <v>38</v>
      </c>
    </row>
    <row r="58" spans="2:6" x14ac:dyDescent="0.25">
      <c r="B58">
        <v>55</v>
      </c>
      <c r="C58" t="s">
        <v>10</v>
      </c>
      <c r="D58" t="str">
        <f t="shared" si="2"/>
        <v>c55-t2-large</v>
      </c>
      <c r="E58" t="s">
        <v>28</v>
      </c>
      <c r="F58" t="s">
        <v>38</v>
      </c>
    </row>
    <row r="59" spans="2:6" x14ac:dyDescent="0.25">
      <c r="B59">
        <v>56</v>
      </c>
      <c r="C59" t="s">
        <v>10</v>
      </c>
      <c r="D59" t="str">
        <f t="shared" si="2"/>
        <v>c56-t2-large</v>
      </c>
      <c r="E59" t="s">
        <v>29</v>
      </c>
      <c r="F59" t="s">
        <v>38</v>
      </c>
    </row>
    <row r="60" spans="2:6" x14ac:dyDescent="0.25">
      <c r="B60">
        <v>57</v>
      </c>
      <c r="C60" t="s">
        <v>11</v>
      </c>
      <c r="D60" t="str">
        <f t="shared" si="2"/>
        <v>c57-t3-small</v>
      </c>
      <c r="E60" t="s">
        <v>30</v>
      </c>
      <c r="F60" t="s">
        <v>38</v>
      </c>
    </row>
    <row r="61" spans="2:6" x14ac:dyDescent="0.25">
      <c r="B61">
        <v>58</v>
      </c>
      <c r="C61" t="s">
        <v>11</v>
      </c>
      <c r="D61" t="str">
        <f t="shared" si="2"/>
        <v>c58-t3-small</v>
      </c>
      <c r="E61" t="s">
        <v>31</v>
      </c>
      <c r="F61" t="s">
        <v>38</v>
      </c>
    </row>
    <row r="62" spans="2:6" x14ac:dyDescent="0.25">
      <c r="B62">
        <v>59</v>
      </c>
      <c r="C62" t="s">
        <v>12</v>
      </c>
      <c r="D62" t="str">
        <f t="shared" si="2"/>
        <v>c59-t3-medium</v>
      </c>
      <c r="E62" t="s">
        <v>32</v>
      </c>
      <c r="F62" t="s">
        <v>38</v>
      </c>
    </row>
    <row r="63" spans="2:6" x14ac:dyDescent="0.25">
      <c r="B63">
        <v>60</v>
      </c>
      <c r="C63" t="s">
        <v>12</v>
      </c>
      <c r="D63" t="str">
        <f t="shared" si="2"/>
        <v>c60-t3-medium</v>
      </c>
      <c r="E63" t="s">
        <v>33</v>
      </c>
      <c r="F63" t="s">
        <v>38</v>
      </c>
    </row>
    <row r="65" spans="2:6" x14ac:dyDescent="0.25">
      <c r="B65">
        <v>61</v>
      </c>
      <c r="C65" t="s">
        <v>8</v>
      </c>
      <c r="D65" t="str">
        <f>"c"&amp;B65&amp;"-"&amp;C65</f>
        <v>c61-t2-small</v>
      </c>
      <c r="E65" t="s">
        <v>43</v>
      </c>
      <c r="F65" t="s">
        <v>63</v>
      </c>
    </row>
    <row r="66" spans="2:6" x14ac:dyDescent="0.25">
      <c r="B66">
        <v>62</v>
      </c>
      <c r="C66" t="s">
        <v>8</v>
      </c>
      <c r="D66" t="str">
        <f t="shared" ref="D66:D84" si="3">"c"&amp;B66&amp;"-"&amp;C66</f>
        <v>c62-t2-small</v>
      </c>
      <c r="E66" t="s">
        <v>44</v>
      </c>
      <c r="F66" t="s">
        <v>63</v>
      </c>
    </row>
    <row r="67" spans="2:6" x14ac:dyDescent="0.25">
      <c r="B67">
        <v>63</v>
      </c>
      <c r="C67" t="s">
        <v>9</v>
      </c>
      <c r="D67" t="str">
        <f t="shared" si="3"/>
        <v>c63-t2-medium</v>
      </c>
      <c r="E67" t="s">
        <v>45</v>
      </c>
      <c r="F67" t="s">
        <v>63</v>
      </c>
    </row>
    <row r="68" spans="2:6" x14ac:dyDescent="0.25">
      <c r="B68">
        <v>64</v>
      </c>
      <c r="C68" t="s">
        <v>9</v>
      </c>
      <c r="D68" t="str">
        <f t="shared" si="3"/>
        <v>c64-t2-medium</v>
      </c>
      <c r="E68" t="s">
        <v>46</v>
      </c>
      <c r="F68" t="s">
        <v>63</v>
      </c>
    </row>
    <row r="69" spans="2:6" x14ac:dyDescent="0.25">
      <c r="B69">
        <v>65</v>
      </c>
      <c r="C69" t="s">
        <v>10</v>
      </c>
      <c r="D69" t="str">
        <f t="shared" si="3"/>
        <v>c65-t2-large</v>
      </c>
      <c r="E69" t="s">
        <v>47</v>
      </c>
      <c r="F69" t="s">
        <v>63</v>
      </c>
    </row>
    <row r="70" spans="2:6" x14ac:dyDescent="0.25">
      <c r="B70">
        <v>66</v>
      </c>
      <c r="C70" t="s">
        <v>10</v>
      </c>
      <c r="D70" t="str">
        <f t="shared" si="3"/>
        <v>c66-t2-large</v>
      </c>
      <c r="E70" t="s">
        <v>48</v>
      </c>
      <c r="F70" t="s">
        <v>63</v>
      </c>
    </row>
    <row r="71" spans="2:6" x14ac:dyDescent="0.25">
      <c r="B71">
        <v>67</v>
      </c>
      <c r="C71" t="s">
        <v>11</v>
      </c>
      <c r="D71" t="str">
        <f t="shared" si="3"/>
        <v>c67-t3-small</v>
      </c>
      <c r="E71" t="s">
        <v>49</v>
      </c>
      <c r="F71" t="s">
        <v>63</v>
      </c>
    </row>
    <row r="72" spans="2:6" x14ac:dyDescent="0.25">
      <c r="B72">
        <v>68</v>
      </c>
      <c r="C72" t="s">
        <v>11</v>
      </c>
      <c r="D72" t="str">
        <f t="shared" si="3"/>
        <v>c68-t3-small</v>
      </c>
      <c r="E72" t="s">
        <v>50</v>
      </c>
      <c r="F72" t="s">
        <v>63</v>
      </c>
    </row>
    <row r="73" spans="2:6" x14ac:dyDescent="0.25">
      <c r="B73">
        <v>69</v>
      </c>
      <c r="C73" t="s">
        <v>12</v>
      </c>
      <c r="D73" t="str">
        <f t="shared" si="3"/>
        <v>c69-t3-medium</v>
      </c>
      <c r="E73" t="s">
        <v>51</v>
      </c>
      <c r="F73" t="s">
        <v>63</v>
      </c>
    </row>
    <row r="74" spans="2:6" x14ac:dyDescent="0.25">
      <c r="B74">
        <v>70</v>
      </c>
      <c r="C74" t="s">
        <v>12</v>
      </c>
      <c r="D74" t="str">
        <f t="shared" si="3"/>
        <v>c70-t3-medium</v>
      </c>
      <c r="E74" t="s">
        <v>52</v>
      </c>
      <c r="F74" t="s">
        <v>63</v>
      </c>
    </row>
    <row r="75" spans="2:6" x14ac:dyDescent="0.25">
      <c r="B75">
        <v>71</v>
      </c>
      <c r="C75" t="s">
        <v>8</v>
      </c>
      <c r="D75" t="str">
        <f t="shared" si="3"/>
        <v>c71-t2-small</v>
      </c>
      <c r="E75" t="s">
        <v>53</v>
      </c>
      <c r="F75" t="s">
        <v>64</v>
      </c>
    </row>
    <row r="76" spans="2:6" x14ac:dyDescent="0.25">
      <c r="B76">
        <v>72</v>
      </c>
      <c r="C76" t="s">
        <v>8</v>
      </c>
      <c r="D76" t="str">
        <f t="shared" si="3"/>
        <v>c72-t2-small</v>
      </c>
      <c r="E76" t="s">
        <v>54</v>
      </c>
      <c r="F76" t="s">
        <v>64</v>
      </c>
    </row>
    <row r="77" spans="2:6" x14ac:dyDescent="0.25">
      <c r="B77">
        <v>73</v>
      </c>
      <c r="C77" t="s">
        <v>9</v>
      </c>
      <c r="D77" t="str">
        <f t="shared" si="3"/>
        <v>c73-t2-medium</v>
      </c>
      <c r="E77" t="s">
        <v>55</v>
      </c>
      <c r="F77" t="s">
        <v>64</v>
      </c>
    </row>
    <row r="78" spans="2:6" x14ac:dyDescent="0.25">
      <c r="B78">
        <v>74</v>
      </c>
      <c r="C78" t="s">
        <v>9</v>
      </c>
      <c r="D78" t="str">
        <f t="shared" si="3"/>
        <v>c74-t2-medium</v>
      </c>
      <c r="E78" t="s">
        <v>56</v>
      </c>
      <c r="F78" t="s">
        <v>64</v>
      </c>
    </row>
    <row r="79" spans="2:6" x14ac:dyDescent="0.25">
      <c r="B79">
        <v>75</v>
      </c>
      <c r="C79" t="s">
        <v>10</v>
      </c>
      <c r="D79" t="str">
        <f t="shared" si="3"/>
        <v>c75-t2-large</v>
      </c>
      <c r="E79" t="s">
        <v>57</v>
      </c>
      <c r="F79" t="s">
        <v>64</v>
      </c>
    </row>
    <row r="80" spans="2:6" x14ac:dyDescent="0.25">
      <c r="B80">
        <v>76</v>
      </c>
      <c r="C80" t="s">
        <v>10</v>
      </c>
      <c r="D80" t="str">
        <f t="shared" si="3"/>
        <v>c76-t2-large</v>
      </c>
      <c r="E80" t="s">
        <v>58</v>
      </c>
      <c r="F80" t="s">
        <v>64</v>
      </c>
    </row>
    <row r="81" spans="2:6" x14ac:dyDescent="0.25">
      <c r="B81">
        <v>77</v>
      </c>
      <c r="C81" t="s">
        <v>11</v>
      </c>
      <c r="D81" t="str">
        <f t="shared" si="3"/>
        <v>c77-t3-small</v>
      </c>
      <c r="E81" t="s">
        <v>59</v>
      </c>
      <c r="F81" t="s">
        <v>64</v>
      </c>
    </row>
    <row r="82" spans="2:6" x14ac:dyDescent="0.25">
      <c r="B82">
        <v>78</v>
      </c>
      <c r="C82" t="s">
        <v>11</v>
      </c>
      <c r="D82" t="str">
        <f t="shared" si="3"/>
        <v>c78-t3-small</v>
      </c>
      <c r="E82" t="s">
        <v>60</v>
      </c>
      <c r="F82" t="s">
        <v>64</v>
      </c>
    </row>
    <row r="83" spans="2:6" x14ac:dyDescent="0.25">
      <c r="B83">
        <v>79</v>
      </c>
      <c r="C83" t="s">
        <v>12</v>
      </c>
      <c r="D83" t="str">
        <f t="shared" si="3"/>
        <v>c79-t3-medium</v>
      </c>
      <c r="E83" t="s">
        <v>61</v>
      </c>
      <c r="F83" t="s">
        <v>64</v>
      </c>
    </row>
    <row r="84" spans="2:6" x14ac:dyDescent="0.25">
      <c r="B84">
        <v>80</v>
      </c>
      <c r="C84" t="s">
        <v>12</v>
      </c>
      <c r="D84" t="str">
        <f t="shared" si="3"/>
        <v>c80-t3-medium</v>
      </c>
      <c r="E84" t="s">
        <v>62</v>
      </c>
      <c r="F84" t="s">
        <v>64</v>
      </c>
    </row>
    <row r="86" spans="2:6" x14ac:dyDescent="0.25">
      <c r="B86">
        <v>81</v>
      </c>
      <c r="C86" t="s">
        <v>8</v>
      </c>
      <c r="D86" t="str">
        <f t="shared" ref="D86:D105" si="4">"c"&amp;B86&amp;"-"&amp;C86</f>
        <v>c81-t2-small</v>
      </c>
      <c r="E86" t="s">
        <v>68</v>
      </c>
      <c r="F86" t="s">
        <v>87</v>
      </c>
    </row>
    <row r="87" spans="2:6" x14ac:dyDescent="0.25">
      <c r="B87">
        <v>82</v>
      </c>
      <c r="C87" t="s">
        <v>8</v>
      </c>
      <c r="D87" t="str">
        <f t="shared" si="4"/>
        <v>c82-t2-small</v>
      </c>
      <c r="E87" t="s">
        <v>69</v>
      </c>
      <c r="F87" t="s">
        <v>87</v>
      </c>
    </row>
    <row r="88" spans="2:6" x14ac:dyDescent="0.25">
      <c r="B88">
        <v>83</v>
      </c>
      <c r="C88" t="s">
        <v>9</v>
      </c>
      <c r="D88" t="str">
        <f t="shared" si="4"/>
        <v>c83-t2-medium</v>
      </c>
      <c r="E88" t="s">
        <v>70</v>
      </c>
      <c r="F88" t="s">
        <v>87</v>
      </c>
    </row>
    <row r="89" spans="2:6" x14ac:dyDescent="0.25">
      <c r="B89">
        <v>84</v>
      </c>
      <c r="C89" t="s">
        <v>9</v>
      </c>
      <c r="D89" t="str">
        <f t="shared" si="4"/>
        <v>c84-t2-medium</v>
      </c>
      <c r="E89" t="s">
        <v>71</v>
      </c>
      <c r="F89" t="s">
        <v>87</v>
      </c>
    </row>
    <row r="90" spans="2:6" x14ac:dyDescent="0.25">
      <c r="B90">
        <v>85</v>
      </c>
      <c r="C90" t="s">
        <v>10</v>
      </c>
      <c r="D90" t="str">
        <f t="shared" si="4"/>
        <v>c85-t2-large</v>
      </c>
      <c r="E90" t="s">
        <v>72</v>
      </c>
      <c r="F90" t="s">
        <v>87</v>
      </c>
    </row>
    <row r="91" spans="2:6" x14ac:dyDescent="0.25">
      <c r="B91">
        <v>86</v>
      </c>
      <c r="C91" t="s">
        <v>10</v>
      </c>
      <c r="D91" t="str">
        <f t="shared" si="4"/>
        <v>c86-t2-large</v>
      </c>
      <c r="E91" t="s">
        <v>73</v>
      </c>
      <c r="F91" t="s">
        <v>87</v>
      </c>
    </row>
    <row r="92" spans="2:6" x14ac:dyDescent="0.25">
      <c r="B92">
        <v>87</v>
      </c>
      <c r="C92" t="s">
        <v>11</v>
      </c>
      <c r="D92" t="str">
        <f t="shared" si="4"/>
        <v>c87-t3-small</v>
      </c>
      <c r="E92" t="s">
        <v>74</v>
      </c>
      <c r="F92" t="s">
        <v>87</v>
      </c>
    </row>
    <row r="93" spans="2:6" x14ac:dyDescent="0.25">
      <c r="B93">
        <v>88</v>
      </c>
      <c r="C93" t="s">
        <v>11</v>
      </c>
      <c r="D93" t="str">
        <f t="shared" si="4"/>
        <v>c88-t3-small</v>
      </c>
      <c r="E93" t="s">
        <v>75</v>
      </c>
      <c r="F93" t="s">
        <v>87</v>
      </c>
    </row>
    <row r="94" spans="2:6" x14ac:dyDescent="0.25">
      <c r="B94">
        <v>89</v>
      </c>
      <c r="C94" t="s">
        <v>12</v>
      </c>
      <c r="D94" t="str">
        <f t="shared" si="4"/>
        <v>c89-t3-medium</v>
      </c>
      <c r="E94" t="s">
        <v>76</v>
      </c>
      <c r="F94" t="s">
        <v>87</v>
      </c>
    </row>
    <row r="95" spans="2:6" x14ac:dyDescent="0.25">
      <c r="B95">
        <v>90</v>
      </c>
      <c r="C95" t="s">
        <v>12</v>
      </c>
      <c r="D95" t="str">
        <f t="shared" si="4"/>
        <v>c90-t3-medium</v>
      </c>
      <c r="E95" t="s">
        <v>77</v>
      </c>
      <c r="F95" t="s">
        <v>87</v>
      </c>
    </row>
    <row r="96" spans="2:6" x14ac:dyDescent="0.25">
      <c r="B96">
        <v>91</v>
      </c>
      <c r="C96" t="s">
        <v>8</v>
      </c>
      <c r="D96" t="str">
        <f t="shared" si="4"/>
        <v>c91-t2-small</v>
      </c>
      <c r="E96" t="s">
        <v>78</v>
      </c>
      <c r="F96" t="s">
        <v>88</v>
      </c>
    </row>
    <row r="97" spans="2:6" x14ac:dyDescent="0.25">
      <c r="B97">
        <v>92</v>
      </c>
      <c r="C97" t="s">
        <v>8</v>
      </c>
      <c r="D97" t="str">
        <f t="shared" si="4"/>
        <v>c92-t2-small</v>
      </c>
      <c r="E97" t="s">
        <v>89</v>
      </c>
      <c r="F97" t="s">
        <v>88</v>
      </c>
    </row>
    <row r="98" spans="2:6" x14ac:dyDescent="0.25">
      <c r="B98">
        <v>93</v>
      </c>
      <c r="C98" t="s">
        <v>9</v>
      </c>
      <c r="D98" t="str">
        <f t="shared" si="4"/>
        <v>c93-t2-medium</v>
      </c>
      <c r="E98" t="s">
        <v>79</v>
      </c>
      <c r="F98" t="s">
        <v>88</v>
      </c>
    </row>
    <row r="99" spans="2:6" x14ac:dyDescent="0.25">
      <c r="B99">
        <v>94</v>
      </c>
      <c r="C99" t="s">
        <v>9</v>
      </c>
      <c r="D99" t="str">
        <f t="shared" si="4"/>
        <v>c94-t2-medium</v>
      </c>
      <c r="E99" t="s">
        <v>80</v>
      </c>
      <c r="F99" t="s">
        <v>88</v>
      </c>
    </row>
    <row r="100" spans="2:6" x14ac:dyDescent="0.25">
      <c r="B100">
        <v>95</v>
      </c>
      <c r="C100" t="s">
        <v>10</v>
      </c>
      <c r="D100" t="str">
        <f t="shared" si="4"/>
        <v>c95-t2-large</v>
      </c>
      <c r="E100" t="s">
        <v>81</v>
      </c>
      <c r="F100" t="s">
        <v>88</v>
      </c>
    </row>
    <row r="101" spans="2:6" x14ac:dyDescent="0.25">
      <c r="B101">
        <v>96</v>
      </c>
      <c r="C101" t="s">
        <v>10</v>
      </c>
      <c r="D101" t="str">
        <f t="shared" si="4"/>
        <v>c96-t2-large</v>
      </c>
      <c r="E101" t="s">
        <v>82</v>
      </c>
      <c r="F101" t="s">
        <v>88</v>
      </c>
    </row>
    <row r="102" spans="2:6" x14ac:dyDescent="0.25">
      <c r="B102">
        <v>97</v>
      </c>
      <c r="C102" t="s">
        <v>11</v>
      </c>
      <c r="D102" t="str">
        <f t="shared" si="4"/>
        <v>c97-t3-small</v>
      </c>
      <c r="E102" t="s">
        <v>83</v>
      </c>
      <c r="F102" t="s">
        <v>88</v>
      </c>
    </row>
    <row r="103" spans="2:6" x14ac:dyDescent="0.25">
      <c r="B103">
        <v>98</v>
      </c>
      <c r="C103" t="s">
        <v>11</v>
      </c>
      <c r="D103" t="str">
        <f t="shared" si="4"/>
        <v>c98-t3-small</v>
      </c>
      <c r="E103" t="s">
        <v>84</v>
      </c>
      <c r="F103" t="s">
        <v>88</v>
      </c>
    </row>
    <row r="104" spans="2:6" x14ac:dyDescent="0.25">
      <c r="B104">
        <v>99</v>
      </c>
      <c r="C104" t="s">
        <v>12</v>
      </c>
      <c r="D104" t="str">
        <f t="shared" si="4"/>
        <v>c99-t3-medium</v>
      </c>
      <c r="E104" t="s">
        <v>85</v>
      </c>
      <c r="F104" t="s">
        <v>88</v>
      </c>
    </row>
    <row r="105" spans="2:6" x14ac:dyDescent="0.25">
      <c r="B105">
        <v>100</v>
      </c>
      <c r="C105" t="s">
        <v>12</v>
      </c>
      <c r="D105" t="str">
        <f t="shared" si="4"/>
        <v>c100-t3-medium</v>
      </c>
      <c r="E105" t="s">
        <v>86</v>
      </c>
      <c r="F105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time</vt:lpstr>
      <vt:lpstr>info</vt:lpstr>
      <vt:lpstr>nodes</vt:lpstr>
      <vt:lpstr>startServerRandom</vt:lpstr>
      <vt:lpstr>startServerRep</vt:lpstr>
      <vt:lpstr>startServerPT</vt:lpstr>
      <vt:lpstr>stopServer</vt:lpstr>
      <vt:lpstr>uploadLib</vt:lpstr>
      <vt:lpstr>uploadFiles</vt:lpstr>
      <vt:lpstr>downloadFiles</vt:lpstr>
      <vt:lpstr>info (BK)</vt:lpstr>
    </vt:vector>
  </TitlesOfParts>
  <Company>RMIT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Fitrio Pakana</dc:creator>
  <cp:lastModifiedBy>Fitrio Pakana</cp:lastModifiedBy>
  <dcterms:created xsi:type="dcterms:W3CDTF">2023-06-26T02:10:52Z</dcterms:created>
  <dcterms:modified xsi:type="dcterms:W3CDTF">2023-07-17T09:50:44Z</dcterms:modified>
</cp:coreProperties>
</file>